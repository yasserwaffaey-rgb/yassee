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.Mohamed Raffat\Desktop\"/>
    </mc:Choice>
  </mc:AlternateContent>
  <xr:revisionPtr revIDLastSave="0" documentId="8_{D8D8A254-3FD9-4FF0-B7F1-08DDFD16C7B2}" xr6:coauthVersionLast="47" xr6:coauthVersionMax="47" xr10:uidLastSave="{00000000-0000-0000-0000-000000000000}"/>
  <bookViews>
    <workbookView xWindow="-110" yWindow="-110" windowWidth="19420" windowHeight="10300" xr2:uid="{2E3EB1DC-88F3-4D1B-8AE4-A29E5746F9E3}"/>
  </bookViews>
  <sheets>
    <sheet name="HO Group  " sheetId="17" r:id="rId1"/>
    <sheet name="شرائح المرتبات 9" sheetId="9" state="hidden" r:id="rId2"/>
    <sheet name="شرائح المرتبات 10" sheetId="11" state="hidden" r:id="rId3"/>
    <sheet name="شرائح المرتبات 11 (الصيادلة)" sheetId="13" r:id="rId4"/>
    <sheet name="شرائح المرتبات 11 (شرق اوسط))" sheetId="14" r:id="rId5"/>
    <sheet name="شرائح المرتبات 11 (توزيع) (2)" sheetId="15" r:id="rId6"/>
    <sheet name="شرائح المرتبات مجموعة" sheetId="16" r:id="rId7"/>
    <sheet name="المتاخرات" sheetId="12" state="hidden" r:id="rId8"/>
    <sheet name="UCTD" sheetId="2" state="hidden" r:id="rId9"/>
    <sheet name="التوفيق" sheetId="3" state="hidden" r:id="rId10"/>
    <sheet name="اور" sheetId="4" state="hidden" r:id="rId11"/>
    <sheet name="الاهلى " sheetId="5" state="hidden" r:id="rId12"/>
    <sheet name="بى ام" sheetId="6" state="hidden" r:id="rId13"/>
    <sheet name="بلتون" sheetId="7" state="hidden" r:id="rId14"/>
    <sheet name="MEC" sheetId="8" state="hidden" r:id="rId15"/>
  </sheets>
  <externalReferences>
    <externalReference r:id="rId16"/>
  </externalReferences>
  <definedNames>
    <definedName name="_xlnm._FilterDatabase" localSheetId="0" hidden="1">'HO Group  '!$A$13:$O$118</definedName>
    <definedName name="_xlnm._FilterDatabase" localSheetId="10" hidden="1">اور!$B$3:$E$24</definedName>
    <definedName name="_xlnm.Print_Area" localSheetId="8">UCTD!$C$35:$F$45</definedName>
    <definedName name="_xlnm.Print_Area" localSheetId="11">'الاهلى '!$B$1:$E$30</definedName>
    <definedName name="_xlnm.Print_Area" localSheetId="9">التوفيق!$B$1:$E$17</definedName>
    <definedName name="_xlnm.Print_Area" localSheetId="10">اور!$B$1:$E$24</definedName>
    <definedName name="_xlnm.Print_Area" localSheetId="13">بلتون!$B$1:$E$3</definedName>
    <definedName name="_xlnm.Print_Area" localSheetId="12">'بى ام'!#REF!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0" i="17" l="1"/>
  <c r="Q59" i="17"/>
  <c r="Q69" i="17"/>
  <c r="Q26" i="17"/>
  <c r="Q45" i="17"/>
  <c r="Q48" i="17"/>
  <c r="H83" i="17"/>
  <c r="H14" i="17"/>
  <c r="H25" i="17"/>
  <c r="H33" i="17"/>
  <c r="H63" i="17"/>
  <c r="H46" i="17"/>
  <c r="U49" i="17"/>
  <c r="T69" i="17"/>
  <c r="J118" i="17"/>
  <c r="H117" i="17"/>
  <c r="L117" i="17"/>
  <c r="H116" i="17"/>
  <c r="L116" i="17"/>
  <c r="L115" i="17"/>
  <c r="L114" i="17"/>
  <c r="L113" i="17"/>
  <c r="N112" i="17"/>
  <c r="H110" i="17"/>
  <c r="L109" i="17"/>
  <c r="H108" i="17"/>
  <c r="L108" i="17"/>
  <c r="L107" i="17"/>
  <c r="H106" i="17"/>
  <c r="L106" i="17"/>
  <c r="L105" i="17"/>
  <c r="L103" i="17"/>
  <c r="L101" i="17"/>
  <c r="D101" i="17"/>
  <c r="N100" i="17"/>
  <c r="H100" i="17"/>
  <c r="T100" i="17"/>
  <c r="H99" i="17"/>
  <c r="L99" i="17"/>
  <c r="N99" i="17"/>
  <c r="H98" i="17"/>
  <c r="H97" i="17"/>
  <c r="H95" i="17"/>
  <c r="H92" i="17"/>
  <c r="H90" i="17"/>
  <c r="N88" i="17"/>
  <c r="H88" i="17"/>
  <c r="L87" i="17"/>
  <c r="N87" i="17"/>
  <c r="L86" i="17"/>
  <c r="N86" i="17"/>
  <c r="L84" i="17"/>
  <c r="H82" i="17"/>
  <c r="T82" i="17"/>
  <c r="T83" i="17"/>
  <c r="N76" i="17"/>
  <c r="N73" i="17"/>
  <c r="N72" i="17"/>
  <c r="N71" i="17"/>
  <c r="N68" i="17"/>
  <c r="N66" i="17"/>
  <c r="N64" i="17"/>
  <c r="N63" i="17"/>
  <c r="N62" i="17"/>
  <c r="H62" i="17"/>
  <c r="N60" i="17"/>
  <c r="H58" i="17"/>
  <c r="F55" i="17"/>
  <c r="H55" i="17"/>
  <c r="F54" i="17"/>
  <c r="H54" i="17"/>
  <c r="F53" i="17"/>
  <c r="H53" i="17"/>
  <c r="F52" i="17"/>
  <c r="H52" i="17"/>
  <c r="F51" i="17"/>
  <c r="H51" i="17"/>
  <c r="L50" i="17"/>
  <c r="F49" i="17"/>
  <c r="L45" i="17"/>
  <c r="F45" i="17"/>
  <c r="H44" i="17"/>
  <c r="D44" i="17"/>
  <c r="F44" i="17"/>
  <c r="S43" i="17"/>
  <c r="S118" i="17"/>
  <c r="H43" i="17"/>
  <c r="D43" i="17"/>
  <c r="F43" i="17"/>
  <c r="H40" i="17"/>
  <c r="U34" i="17"/>
  <c r="V35" i="17"/>
  <c r="F34" i="17"/>
  <c r="F30" i="17"/>
  <c r="F29" i="17"/>
  <c r="L24" i="17"/>
  <c r="D24" i="17"/>
  <c r="F24" i="17"/>
  <c r="H19" i="17"/>
  <c r="F19" i="17"/>
  <c r="H17" i="17"/>
  <c r="D17" i="17"/>
  <c r="F17" i="17"/>
  <c r="D16" i="17"/>
  <c r="F16" i="17"/>
  <c r="D15" i="17"/>
  <c r="F15" i="17"/>
  <c r="L15" i="17"/>
  <c r="N14" i="17"/>
  <c r="E14" i="17"/>
  <c r="E118" i="17"/>
  <c r="Q11" i="17"/>
  <c r="N11" i="17"/>
  <c r="L11" i="17"/>
  <c r="J3" i="17"/>
  <c r="J11" i="17"/>
  <c r="J122" i="17"/>
  <c r="I23" i="16"/>
  <c r="I22" i="16"/>
  <c r="I21" i="16"/>
  <c r="I20" i="16"/>
  <c r="I19" i="16"/>
  <c r="I12" i="16"/>
  <c r="I11" i="16"/>
  <c r="I10" i="16"/>
  <c r="I9" i="16"/>
  <c r="I8" i="16"/>
  <c r="I7" i="16"/>
  <c r="I6" i="16"/>
  <c r="I5" i="16"/>
  <c r="I4" i="16"/>
  <c r="H23" i="16"/>
  <c r="H22" i="16"/>
  <c r="H21" i="16"/>
  <c r="H20" i="16"/>
  <c r="H19" i="16"/>
  <c r="H12" i="16"/>
  <c r="H11" i="16"/>
  <c r="H10" i="16"/>
  <c r="H9" i="16"/>
  <c r="H8" i="16"/>
  <c r="H7" i="16"/>
  <c r="H6" i="16"/>
  <c r="H5" i="16"/>
  <c r="H4" i="16"/>
  <c r="G23" i="16"/>
  <c r="G22" i="16"/>
  <c r="G21" i="16"/>
  <c r="J21" i="16"/>
  <c r="G20" i="16"/>
  <c r="G19" i="16"/>
  <c r="J19" i="16"/>
  <c r="G12" i="16"/>
  <c r="J12" i="16"/>
  <c r="G11" i="16"/>
  <c r="G10" i="16"/>
  <c r="G9" i="16"/>
  <c r="G8" i="16"/>
  <c r="G7" i="16"/>
  <c r="J7" i="16"/>
  <c r="G6" i="16"/>
  <c r="G5" i="16"/>
  <c r="G4" i="16"/>
  <c r="J8" i="16"/>
  <c r="C22" i="16"/>
  <c r="D22" i="16"/>
  <c r="E22" i="16"/>
  <c r="F22" i="16"/>
  <c r="E23" i="16"/>
  <c r="E21" i="16"/>
  <c r="E20" i="16"/>
  <c r="E19" i="16"/>
  <c r="D23" i="16"/>
  <c r="D21" i="16"/>
  <c r="D20" i="16"/>
  <c r="D19" i="16"/>
  <c r="C23" i="16"/>
  <c r="F23" i="16"/>
  <c r="C21" i="16"/>
  <c r="C20" i="16"/>
  <c r="C19" i="16"/>
  <c r="C10" i="16"/>
  <c r="D10" i="16"/>
  <c r="E10" i="16"/>
  <c r="F10" i="16"/>
  <c r="C8" i="16"/>
  <c r="D8" i="16"/>
  <c r="E8" i="16"/>
  <c r="F8" i="16"/>
  <c r="E12" i="16"/>
  <c r="E11" i="16"/>
  <c r="E9" i="16"/>
  <c r="E7" i="16"/>
  <c r="E6" i="16"/>
  <c r="E5" i="16"/>
  <c r="E4" i="16"/>
  <c r="D12" i="16"/>
  <c r="D11" i="16"/>
  <c r="D9" i="16"/>
  <c r="D7" i="16"/>
  <c r="D6" i="16"/>
  <c r="D5" i="16"/>
  <c r="D4" i="16"/>
  <c r="C12" i="16"/>
  <c r="F12" i="16"/>
  <c r="C11" i="16"/>
  <c r="F11" i="16"/>
  <c r="C9" i="16"/>
  <c r="C7" i="16"/>
  <c r="F7" i="16"/>
  <c r="C6" i="16"/>
  <c r="C5" i="16"/>
  <c r="F5" i="16"/>
  <c r="C4" i="16"/>
  <c r="F4" i="16"/>
  <c r="C24" i="14"/>
  <c r="C25" i="14"/>
  <c r="C24" i="15"/>
  <c r="C25" i="15"/>
  <c r="D24" i="15"/>
  <c r="D25" i="15"/>
  <c r="F22" i="15"/>
  <c r="F21" i="15"/>
  <c r="F19" i="15"/>
  <c r="F23" i="15"/>
  <c r="D24" i="14"/>
  <c r="D25" i="14"/>
  <c r="F23" i="14"/>
  <c r="F22" i="14"/>
  <c r="F21" i="14"/>
  <c r="F20" i="14"/>
  <c r="F19" i="14"/>
  <c r="T93" i="17"/>
  <c r="D24" i="13"/>
  <c r="D25" i="13"/>
  <c r="C24" i="13"/>
  <c r="F23" i="13"/>
  <c r="F22" i="13"/>
  <c r="F21" i="13"/>
  <c r="F20" i="13"/>
  <c r="F19" i="13"/>
  <c r="T26" i="17"/>
  <c r="D118" i="17"/>
  <c r="F6" i="16"/>
  <c r="F9" i="16"/>
  <c r="F13" i="16"/>
  <c r="N5" i="16"/>
  <c r="E13" i="16"/>
  <c r="M21" i="16"/>
  <c r="N13" i="16"/>
  <c r="D13" i="16"/>
  <c r="L11" i="16"/>
  <c r="L4" i="16"/>
  <c r="L5" i="16"/>
  <c r="G13" i="16"/>
  <c r="O22" i="16"/>
  <c r="M23" i="16"/>
  <c r="C13" i="16"/>
  <c r="K8" i="16"/>
  <c r="H13" i="16"/>
  <c r="P12" i="16"/>
  <c r="L8" i="16"/>
  <c r="O9" i="16"/>
  <c r="M6" i="16"/>
  <c r="K9" i="16"/>
  <c r="K20" i="16"/>
  <c r="M9" i="16"/>
  <c r="F20" i="16"/>
  <c r="O19" i="16"/>
  <c r="F21" i="16"/>
  <c r="H24" i="16"/>
  <c r="I24" i="16"/>
  <c r="K23" i="16"/>
  <c r="E24" i="16"/>
  <c r="M24" i="16"/>
  <c r="J23" i="16"/>
  <c r="O21" i="16"/>
  <c r="D24" i="16"/>
  <c r="J10" i="16"/>
  <c r="C25" i="13"/>
  <c r="M13" i="16"/>
  <c r="F19" i="16"/>
  <c r="N19" i="16"/>
  <c r="I13" i="16"/>
  <c r="Q21" i="16"/>
  <c r="T101" i="17"/>
  <c r="M19" i="16"/>
  <c r="L118" i="17"/>
  <c r="L122" i="17"/>
  <c r="L120" i="17"/>
  <c r="N118" i="17"/>
  <c r="N122" i="17"/>
  <c r="N120" i="17"/>
  <c r="F14" i="17"/>
  <c r="F118" i="17"/>
  <c r="J9" i="16"/>
  <c r="J11" i="16"/>
  <c r="J20" i="16"/>
  <c r="J22" i="16"/>
  <c r="J6" i="16"/>
  <c r="P9" i="16"/>
  <c r="J4" i="16"/>
  <c r="O20" i="16"/>
  <c r="G24" i="16"/>
  <c r="J5" i="16"/>
  <c r="C24" i="16"/>
  <c r="E25" i="16"/>
  <c r="D25" i="16"/>
  <c r="L13" i="16"/>
  <c r="K11" i="16"/>
  <c r="F24" i="14"/>
  <c r="D13" i="15"/>
  <c r="F20" i="15"/>
  <c r="F24" i="15"/>
  <c r="F24" i="13"/>
  <c r="C25" i="16"/>
  <c r="K24" i="16"/>
  <c r="O12" i="16"/>
  <c r="O7" i="16"/>
  <c r="L10" i="16"/>
  <c r="O4" i="16"/>
  <c r="O23" i="16"/>
  <c r="K6" i="16"/>
  <c r="N23" i="16"/>
  <c r="Q23" i="16"/>
  <c r="K5" i="16"/>
  <c r="N20" i="16"/>
  <c r="N11" i="16"/>
  <c r="L23" i="16"/>
  <c r="L7" i="16"/>
  <c r="N7" i="16"/>
  <c r="M5" i="16"/>
  <c r="M25" i="16"/>
  <c r="M11" i="16"/>
  <c r="N4" i="16"/>
  <c r="L12" i="16"/>
  <c r="L24" i="16"/>
  <c r="L25" i="16"/>
  <c r="I25" i="16"/>
  <c r="Q24" i="16"/>
  <c r="Q5" i="16"/>
  <c r="Q25" i="16"/>
  <c r="P21" i="16"/>
  <c r="P11" i="16"/>
  <c r="M8" i="16"/>
  <c r="N8" i="16"/>
  <c r="P4" i="16"/>
  <c r="O8" i="16"/>
  <c r="Q10" i="16"/>
  <c r="P23" i="16"/>
  <c r="P22" i="16"/>
  <c r="H25" i="16"/>
  <c r="P24" i="16"/>
  <c r="L20" i="16"/>
  <c r="L9" i="16"/>
  <c r="N22" i="16"/>
  <c r="M22" i="16"/>
  <c r="P8" i="16"/>
  <c r="M20" i="16"/>
  <c r="G25" i="16"/>
  <c r="O24" i="16"/>
  <c r="Q20" i="16"/>
  <c r="Q7" i="16"/>
  <c r="Q19" i="16"/>
  <c r="Q6" i="16"/>
  <c r="Q13" i="16"/>
  <c r="Q14" i="16"/>
  <c r="Q12" i="16"/>
  <c r="Q4" i="16"/>
  <c r="Q9" i="16"/>
  <c r="Q11" i="16"/>
  <c r="L19" i="16"/>
  <c r="N9" i="16"/>
  <c r="N21" i="16"/>
  <c r="O5" i="16"/>
  <c r="L6" i="16"/>
  <c r="L22" i="16"/>
  <c r="L21" i="16"/>
  <c r="M12" i="16"/>
  <c r="M10" i="16"/>
  <c r="K7" i="16"/>
  <c r="K4" i="16"/>
  <c r="K12" i="16"/>
  <c r="K10" i="16"/>
  <c r="O6" i="16"/>
  <c r="O13" i="16"/>
  <c r="O14" i="16"/>
  <c r="O11" i="16"/>
  <c r="O10" i="16"/>
  <c r="J13" i="16"/>
  <c r="R4" i="16"/>
  <c r="P10" i="16"/>
  <c r="P20" i="16"/>
  <c r="P7" i="16"/>
  <c r="P19" i="16"/>
  <c r="P6" i="16"/>
  <c r="P13" i="16"/>
  <c r="P14" i="16"/>
  <c r="P5" i="16"/>
  <c r="R6" i="16"/>
  <c r="Q22" i="16"/>
  <c r="F24" i="16"/>
  <c r="N6" i="16"/>
  <c r="K21" i="16"/>
  <c r="Q8" i="16"/>
  <c r="M7" i="16"/>
  <c r="K19" i="16"/>
  <c r="N10" i="16"/>
  <c r="M4" i="16"/>
  <c r="K22" i="16"/>
  <c r="N12" i="16"/>
  <c r="I6" i="15"/>
  <c r="H69" i="17"/>
  <c r="I22" i="15"/>
  <c r="I13" i="15"/>
  <c r="I9" i="15"/>
  <c r="I5" i="15"/>
  <c r="I10" i="15"/>
  <c r="I23" i="15"/>
  <c r="I21" i="15"/>
  <c r="I12" i="15"/>
  <c r="I8" i="15"/>
  <c r="I4" i="15"/>
  <c r="I24" i="15"/>
  <c r="I25" i="15"/>
  <c r="I20" i="15"/>
  <c r="I11" i="15"/>
  <c r="I7" i="15"/>
  <c r="I19" i="15"/>
  <c r="J24" i="16"/>
  <c r="R13" i="16"/>
  <c r="R14" i="16"/>
  <c r="R7" i="16"/>
  <c r="R21" i="16"/>
  <c r="R8" i="16"/>
  <c r="R19" i="16"/>
  <c r="R12" i="16"/>
  <c r="R23" i="16"/>
  <c r="J25" i="16"/>
  <c r="R24" i="16"/>
  <c r="R5" i="16"/>
  <c r="R25" i="16"/>
  <c r="R9" i="16"/>
  <c r="R10" i="16"/>
  <c r="K25" i="16"/>
  <c r="R20" i="16"/>
  <c r="O25" i="16"/>
  <c r="R11" i="16"/>
  <c r="N24" i="16"/>
  <c r="N25" i="16"/>
  <c r="F25" i="16"/>
  <c r="P25" i="16"/>
  <c r="R22" i="16"/>
  <c r="K13" i="16"/>
  <c r="F11" i="14"/>
  <c r="F10" i="14"/>
  <c r="F9" i="14"/>
  <c r="F12" i="14"/>
  <c r="F8" i="14"/>
  <c r="F4" i="14"/>
  <c r="F10" i="15"/>
  <c r="F9" i="15"/>
  <c r="F7" i="15"/>
  <c r="F4" i="15"/>
  <c r="F12" i="15"/>
  <c r="F11" i="15"/>
  <c r="F8" i="15"/>
  <c r="F6" i="15"/>
  <c r="F5" i="15"/>
  <c r="D13" i="14"/>
  <c r="C13" i="14"/>
  <c r="F5" i="14"/>
  <c r="D13" i="13"/>
  <c r="C13" i="13"/>
  <c r="F12" i="13"/>
  <c r="F11" i="13"/>
  <c r="F10" i="13"/>
  <c r="F9" i="13"/>
  <c r="F8" i="13"/>
  <c r="F7" i="13"/>
  <c r="F6" i="13"/>
  <c r="F5" i="13"/>
  <c r="F4" i="13"/>
  <c r="F4" i="11"/>
  <c r="H4" i="11"/>
  <c r="F5" i="11"/>
  <c r="H5" i="11"/>
  <c r="F6" i="11"/>
  <c r="H6" i="11"/>
  <c r="F7" i="11"/>
  <c r="H7" i="11"/>
  <c r="F8" i="11"/>
  <c r="H8" i="11"/>
  <c r="F9" i="11"/>
  <c r="H9" i="11"/>
  <c r="F10" i="11"/>
  <c r="H10" i="11"/>
  <c r="F11" i="11"/>
  <c r="F12" i="11"/>
  <c r="J13" i="12"/>
  <c r="I13" i="12"/>
  <c r="H13" i="12"/>
  <c r="G13" i="12"/>
  <c r="F13" i="12"/>
  <c r="K13" i="12"/>
  <c r="K12" i="12"/>
  <c r="K11" i="12"/>
  <c r="K10" i="12"/>
  <c r="K9" i="12"/>
  <c r="K8" i="12"/>
  <c r="K7" i="12"/>
  <c r="K6" i="12"/>
  <c r="K5" i="12"/>
  <c r="K4" i="12"/>
  <c r="D13" i="11"/>
  <c r="C13" i="11"/>
  <c r="N12" i="9"/>
  <c r="N9" i="9"/>
  <c r="O9" i="9"/>
  <c r="M13" i="9"/>
  <c r="G118" i="17"/>
  <c r="L13" i="9"/>
  <c r="C31" i="8"/>
  <c r="C33" i="8"/>
  <c r="C34" i="8"/>
  <c r="C40" i="8"/>
  <c r="C8" i="8"/>
  <c r="C42" i="8"/>
  <c r="C13" i="2"/>
  <c r="G13" i="2"/>
  <c r="H13" i="2"/>
  <c r="E127" i="7"/>
  <c r="F40" i="2"/>
  <c r="E128" i="7"/>
  <c r="E25" i="6"/>
  <c r="E29" i="5"/>
  <c r="F39" i="2"/>
  <c r="E30" i="5"/>
  <c r="E24" i="4"/>
  <c r="E25" i="4"/>
  <c r="E16" i="3"/>
  <c r="E43" i="2"/>
  <c r="D43" i="2"/>
  <c r="F42" i="2"/>
  <c r="F41" i="2"/>
  <c r="E26" i="6"/>
  <c r="F37" i="2"/>
  <c r="E17" i="3"/>
  <c r="D23" i="2"/>
  <c r="C22" i="2"/>
  <c r="C23" i="2"/>
  <c r="C17" i="2"/>
  <c r="G17" i="2"/>
  <c r="H17" i="2"/>
  <c r="C16" i="2"/>
  <c r="G16" i="2"/>
  <c r="H16" i="2"/>
  <c r="C15" i="2"/>
  <c r="G15" i="2"/>
  <c r="H15" i="2"/>
  <c r="C14" i="2"/>
  <c r="G14" i="2"/>
  <c r="H14" i="2"/>
  <c r="C12" i="2"/>
  <c r="C7" i="2"/>
  <c r="M14" i="9"/>
  <c r="M15" i="9"/>
  <c r="C19" i="2"/>
  <c r="C30" i="2"/>
  <c r="H13" i="11"/>
  <c r="F13" i="11"/>
  <c r="H22" i="14"/>
  <c r="H13" i="14"/>
  <c r="H9" i="14"/>
  <c r="H5" i="14"/>
  <c r="H21" i="14"/>
  <c r="H12" i="14"/>
  <c r="H8" i="14"/>
  <c r="H4" i="14"/>
  <c r="H24" i="14"/>
  <c r="H20" i="14"/>
  <c r="H11" i="14"/>
  <c r="H7" i="14"/>
  <c r="H23" i="14"/>
  <c r="H19" i="14"/>
  <c r="H10" i="14"/>
  <c r="H6" i="14"/>
  <c r="F43" i="2"/>
  <c r="I24" i="14"/>
  <c r="I7" i="14"/>
  <c r="I21" i="14"/>
  <c r="I12" i="14"/>
  <c r="I8" i="14"/>
  <c r="I4" i="14"/>
  <c r="I20" i="14"/>
  <c r="I23" i="14"/>
  <c r="I19" i="14"/>
  <c r="I10" i="14"/>
  <c r="I6" i="14"/>
  <c r="I11" i="14"/>
  <c r="H93" i="17"/>
  <c r="I22" i="14"/>
  <c r="I13" i="14"/>
  <c r="I9" i="14"/>
  <c r="I5" i="14"/>
  <c r="H12" i="13"/>
  <c r="H4" i="13"/>
  <c r="H11" i="13"/>
  <c r="H22" i="13"/>
  <c r="H23" i="13"/>
  <c r="H10" i="13"/>
  <c r="H21" i="13"/>
  <c r="H8" i="13"/>
  <c r="H20" i="13"/>
  <c r="H7" i="13"/>
  <c r="H19" i="13"/>
  <c r="H6" i="13"/>
  <c r="H9" i="13"/>
  <c r="H13" i="13"/>
  <c r="H5" i="13"/>
  <c r="H24" i="13"/>
  <c r="I19" i="13"/>
  <c r="I6" i="13"/>
  <c r="I24" i="13"/>
  <c r="I11" i="13"/>
  <c r="I13" i="13"/>
  <c r="I5" i="13"/>
  <c r="I12" i="13"/>
  <c r="I4" i="13"/>
  <c r="H26" i="17"/>
  <c r="I23" i="13"/>
  <c r="I10" i="13"/>
  <c r="I22" i="13"/>
  <c r="I9" i="13"/>
  <c r="I21" i="13"/>
  <c r="I8" i="13"/>
  <c r="I20" i="13"/>
  <c r="I7" i="13"/>
  <c r="F13" i="14"/>
  <c r="C13" i="15"/>
  <c r="F13" i="15"/>
  <c r="I13" i="11"/>
  <c r="F13" i="13"/>
  <c r="H118" i="17"/>
  <c r="R84" i="17"/>
  <c r="I25" i="14"/>
  <c r="H25" i="14"/>
  <c r="I14" i="11"/>
  <c r="R118" i="17"/>
  <c r="H23" i="15"/>
  <c r="H19" i="15"/>
  <c r="H10" i="15"/>
  <c r="H6" i="15"/>
  <c r="H11" i="15"/>
  <c r="H7" i="15"/>
  <c r="H22" i="15"/>
  <c r="H13" i="15"/>
  <c r="H9" i="15"/>
  <c r="H5" i="15"/>
  <c r="H20" i="15"/>
  <c r="H21" i="15"/>
  <c r="H12" i="15"/>
  <c r="H8" i="15"/>
  <c r="H4" i="15"/>
  <c r="H24" i="15"/>
  <c r="H25" i="15"/>
  <c r="Q118" i="17"/>
  <c r="Q122" i="17" s="1"/>
  <c r="Q120" i="17"/>
  <c r="R61" i="17"/>
</calcChain>
</file>

<file path=xl/sharedStrings.xml><?xml version="1.0" encoding="utf-8"?>
<sst xmlns="http://schemas.openxmlformats.org/spreadsheetml/2006/main" count="869" uniqueCount="266">
  <si>
    <t xml:space="preserve">الإيرادات  </t>
  </si>
  <si>
    <t>ملاحظات</t>
  </si>
  <si>
    <t xml:space="preserve">الإيرادات </t>
  </si>
  <si>
    <t xml:space="preserve">الاجمالى </t>
  </si>
  <si>
    <t xml:space="preserve">البيان </t>
  </si>
  <si>
    <t xml:space="preserve">المتاخرات </t>
  </si>
  <si>
    <t>المدفوع سبتمبر</t>
  </si>
  <si>
    <t>المتبقى حتى أغسطس 2025</t>
  </si>
  <si>
    <t xml:space="preserve">قسط سبتمبر </t>
  </si>
  <si>
    <t xml:space="preserve">اجمالى المتاخرات </t>
  </si>
  <si>
    <t xml:space="preserve">المقترح سدادة </t>
  </si>
  <si>
    <t xml:space="preserve">شركه ايزيليس </t>
  </si>
  <si>
    <t>شركه هيرميس</t>
  </si>
  <si>
    <t>شركه انكوليس</t>
  </si>
  <si>
    <t xml:space="preserve">شركه بدايه </t>
  </si>
  <si>
    <t xml:space="preserve">شركه الاهلى للتاجير التمويلى </t>
  </si>
  <si>
    <t xml:space="preserve">تمويل الخزينه </t>
  </si>
  <si>
    <t xml:space="preserve">كسب الغير المشروع </t>
  </si>
  <si>
    <t>الشركة العربيه</t>
  </si>
  <si>
    <t xml:space="preserve">باكين </t>
  </si>
  <si>
    <t xml:space="preserve">شركه ماش </t>
  </si>
  <si>
    <t xml:space="preserve">مكتب تامينات شربين </t>
  </si>
  <si>
    <t xml:space="preserve">مكتب تامينات نج حمادى </t>
  </si>
  <si>
    <t xml:space="preserve">مكتب تامينات الاسماعليه </t>
  </si>
  <si>
    <t>مكتب تامينات العريش</t>
  </si>
  <si>
    <t xml:space="preserve">ايجار قويسنا </t>
  </si>
  <si>
    <t xml:space="preserve">رفع قضيه </t>
  </si>
  <si>
    <t xml:space="preserve">الارصده و الايردات المتوقعه </t>
  </si>
  <si>
    <t>لترك الخدمة واخرى</t>
  </si>
  <si>
    <t>شهر اعسطس</t>
  </si>
  <si>
    <t>حجز  فرع العوايد</t>
  </si>
  <si>
    <t>حجز  فرع شبين الكوم</t>
  </si>
  <si>
    <t xml:space="preserve">سداد المتاخرات بدون شهر سبتمبر </t>
  </si>
  <si>
    <t xml:space="preserve">سداد شهر أغسطس و باقى شهر سبتمبر و أكتوبر </t>
  </si>
  <si>
    <t xml:space="preserve">وحدات مفيدا </t>
  </si>
  <si>
    <t>صيدليه روفيد</t>
  </si>
  <si>
    <t xml:space="preserve">ام مزغو_+ سيارات </t>
  </si>
  <si>
    <t>UCP</t>
  </si>
  <si>
    <t>الشركة</t>
  </si>
  <si>
    <t>البيان</t>
  </si>
  <si>
    <t>القيمة</t>
  </si>
  <si>
    <t>قيمة القسط</t>
  </si>
  <si>
    <t>عدد الاقساط</t>
  </si>
  <si>
    <t>التاريخ</t>
  </si>
  <si>
    <t>اورانج</t>
  </si>
  <si>
    <t>Total</t>
  </si>
  <si>
    <t xml:space="preserve">توتال </t>
  </si>
  <si>
    <t>شركة النيل للزيوت والمنظفات ( ايجار سوهاج )</t>
  </si>
  <si>
    <t>يونية/يوليو/اغسطس/سبتمبر/اكتوبر</t>
  </si>
  <si>
    <t>مصطفى امين حجازى ( ايجار المنصورة )</t>
  </si>
  <si>
    <t>شركة الجمهورية ( ايجار الاسكندرية )</t>
  </si>
  <si>
    <t>مايو/يونية/يوليو/اغسطس/سبتمبر/اكتوبر</t>
  </si>
  <si>
    <t>بولاريس ( ايجار مخزن اكتوبر )</t>
  </si>
  <si>
    <t>ابريل/يوليو/اكتوبر</t>
  </si>
  <si>
    <t>حسين كمال ابوكريشة ( ايجار سوهاج )</t>
  </si>
  <si>
    <t>اكتوبر</t>
  </si>
  <si>
    <t>ايجار فرع السواح</t>
  </si>
  <si>
    <t>مرتبات شهر اغسطس</t>
  </si>
  <si>
    <t>اغسطس 2025</t>
  </si>
  <si>
    <t>مرتبات شهر سبتمبر</t>
  </si>
  <si>
    <t>سبتمبر 2025</t>
  </si>
  <si>
    <t>تامينات التجارة&amp; التوزيع</t>
  </si>
  <si>
    <t>شيكات أوراق الدفع المستحقة - شركات التاجير التمويلى</t>
  </si>
  <si>
    <t>شركة التوفيق للتاجير التمويلى</t>
  </si>
  <si>
    <t>مرفق تفصيل الرصيد</t>
  </si>
  <si>
    <t>شركة اور للتاجير التمويلى والتخصيم</t>
  </si>
  <si>
    <t>شركة الاهلى للتاجير التمويلى</t>
  </si>
  <si>
    <t>شركة بلتون للتاجير التمويلى والتخصيم</t>
  </si>
  <si>
    <t>شركة بى ام للتاجير التمويلى</t>
  </si>
  <si>
    <t>الاجمالى</t>
  </si>
  <si>
    <t>اجمالى قيمة الشيكات</t>
  </si>
  <si>
    <t>اجمالى المسدد من المرتد</t>
  </si>
  <si>
    <t>المتبقى من المرتد</t>
  </si>
  <si>
    <t>شركة الأهلى الكويتى - مصر للتأجير التمويلى</t>
  </si>
  <si>
    <t>تاريخ الاستحقاق</t>
  </si>
  <si>
    <t>رقم الشيك</t>
  </si>
  <si>
    <t>البنك</t>
  </si>
  <si>
    <t>قيمة الشيك</t>
  </si>
  <si>
    <t>ARAB_002</t>
  </si>
  <si>
    <t>BRCLYS_001</t>
  </si>
  <si>
    <t>UCTD</t>
  </si>
  <si>
    <t>من تاريخ 01-01-2025 الى 10-10-2025</t>
  </si>
  <si>
    <t xml:space="preserve">الايرادات </t>
  </si>
  <si>
    <t>باقى شيكات أمون</t>
  </si>
  <si>
    <t>شراء بضاعة للتشغيل</t>
  </si>
  <si>
    <t>المدفوعات</t>
  </si>
  <si>
    <t>ان أية كيمكال</t>
  </si>
  <si>
    <t>الرواد</t>
  </si>
  <si>
    <t xml:space="preserve">ضرائب عقارية </t>
  </si>
  <si>
    <t>سى دى تى للحلول الاستشارية</t>
  </si>
  <si>
    <t xml:space="preserve">ضريبة القيمة المضافة </t>
  </si>
  <si>
    <t>ضريبة الجدول</t>
  </si>
  <si>
    <t xml:space="preserve">ضريبة كسب العمل </t>
  </si>
  <si>
    <t>بدلات  وانتقالات</t>
  </si>
  <si>
    <t xml:space="preserve">تسويات نهاية الخدمة </t>
  </si>
  <si>
    <t>ايجار تمويلى  - انكوليس</t>
  </si>
  <si>
    <t>ايجار تمويلى  كوربليس</t>
  </si>
  <si>
    <t>مكتب التأمينات</t>
  </si>
  <si>
    <t>خزنه</t>
  </si>
  <si>
    <t>حالا</t>
  </si>
  <si>
    <t>وادى النيل</t>
  </si>
  <si>
    <t>توتال</t>
  </si>
  <si>
    <t>بترو أب</t>
  </si>
  <si>
    <t>موردين  بضاعة وخدمات</t>
  </si>
  <si>
    <t>أتعاب استشارات</t>
  </si>
  <si>
    <t>ايجارات</t>
  </si>
  <si>
    <t>تكلفة باصات</t>
  </si>
  <si>
    <t>صندوق الشهداء</t>
  </si>
  <si>
    <t>صندوق الطوارى</t>
  </si>
  <si>
    <t>كهرباء</t>
  </si>
  <si>
    <t xml:space="preserve">اتصالات </t>
  </si>
  <si>
    <t>أورانج</t>
  </si>
  <si>
    <t xml:space="preserve">تمويل خزينة </t>
  </si>
  <si>
    <t>متنوعات</t>
  </si>
  <si>
    <t>فواد بنك تنمية الصادرات</t>
  </si>
  <si>
    <t>MEC</t>
  </si>
  <si>
    <t>رصيد البنك  الحالى</t>
  </si>
  <si>
    <t>فوائد بنك تنمية الصادرات</t>
  </si>
  <si>
    <t>اجمالى مصروفات فرعى للشركة</t>
  </si>
  <si>
    <t>العجز - الفائض للمجموعة</t>
  </si>
  <si>
    <t xml:space="preserve">موردين  شراء بضاعة  </t>
  </si>
  <si>
    <t xml:space="preserve">ايجار بنى موار </t>
  </si>
  <si>
    <t xml:space="preserve">شركة الطابعات </t>
  </si>
  <si>
    <t>cloud 11</t>
  </si>
  <si>
    <t xml:space="preserve">عاجل </t>
  </si>
  <si>
    <t xml:space="preserve">20 أكتوبر </t>
  </si>
  <si>
    <t xml:space="preserve">15 أكتوبر </t>
  </si>
  <si>
    <t>22 أكتوبر</t>
  </si>
  <si>
    <t xml:space="preserve">رصيد خزينه </t>
  </si>
  <si>
    <t xml:space="preserve">ضريبه عقاريه خاصه بفرع طنطا </t>
  </si>
  <si>
    <t>المتفق على سداده</t>
  </si>
  <si>
    <t>مخزن طنطا</t>
  </si>
  <si>
    <t>تفصيلى شرائح</t>
  </si>
  <si>
    <t>عدد موظفين</t>
  </si>
  <si>
    <t>مبلغ </t>
  </si>
  <si>
    <t>من 1   الى    5,000</t>
  </si>
  <si>
    <t>من 5,001   الى   10,000</t>
  </si>
  <si>
    <t>من 10,001  الى  15,000</t>
  </si>
  <si>
    <t>من 15,001 الى 20,000</t>
  </si>
  <si>
    <t>من 20,001 الى 25,000</t>
  </si>
  <si>
    <t>من 25,001 الى 30,000</t>
  </si>
  <si>
    <t>تحصيل عميل</t>
  </si>
  <si>
    <t>من 30,001 الى 50,000</t>
  </si>
  <si>
    <t>من 50,001 الى 300,000</t>
  </si>
  <si>
    <t>ايداع فى المحكمة</t>
  </si>
  <si>
    <t>يوجد مبلع 1739889 تخص يونى انفستمنت</t>
  </si>
  <si>
    <t>يوم 2 اكتوبر</t>
  </si>
  <si>
    <t>تم السداد</t>
  </si>
  <si>
    <t>لم يتم السداد</t>
  </si>
  <si>
    <t>المطلوب سداده</t>
  </si>
  <si>
    <t>فودافون</t>
  </si>
  <si>
    <t>متحصلات نقدية متوقعة</t>
  </si>
  <si>
    <t xml:space="preserve">ضرائب دفعات مقدمة </t>
  </si>
  <si>
    <t>ض.الدخل</t>
  </si>
  <si>
    <t>ض.الخصم والتحصيل</t>
  </si>
  <si>
    <t>ض. توزيع ارباح</t>
  </si>
  <si>
    <t xml:space="preserve">ايجار تمويلى  - االأهلى للتأجير </t>
  </si>
  <si>
    <t>موردين  بضاعة  خامات المصنع</t>
  </si>
  <si>
    <t>من ابريل الى اكتوبر</t>
  </si>
  <si>
    <t>ضريبة القيمة المضافة  _ شهرى</t>
  </si>
  <si>
    <t>ضريبة القيمة المضافة  _ متأخيرات</t>
  </si>
  <si>
    <t xml:space="preserve">متنوعات </t>
  </si>
  <si>
    <t>ايجار المنيا  (المعونة الامريكية)</t>
  </si>
  <si>
    <t>شيك تعويض التامين</t>
  </si>
  <si>
    <t>تحصيل بيع الجملة</t>
  </si>
  <si>
    <t xml:space="preserve">بروكس  - فيلات </t>
  </si>
  <si>
    <t>حجز قضائى</t>
  </si>
  <si>
    <t>اويست</t>
  </si>
  <si>
    <t>من 50,001 الى 100,000</t>
  </si>
  <si>
    <t>من 100,001 الى 300,000</t>
  </si>
  <si>
    <t>اسيوط</t>
  </si>
  <si>
    <t>الاسماعيلية</t>
  </si>
  <si>
    <t xml:space="preserve">القومية </t>
  </si>
  <si>
    <t>قليوب</t>
  </si>
  <si>
    <t>مصنع فيتو فارم</t>
  </si>
  <si>
    <t>المساهمين</t>
  </si>
  <si>
    <t>فبرابر</t>
  </si>
  <si>
    <t>مارس</t>
  </si>
  <si>
    <t>مرتبات شهر اكتوبر</t>
  </si>
  <si>
    <t xml:space="preserve">مجدى وليم </t>
  </si>
  <si>
    <t>اسوان (حمزة)</t>
  </si>
  <si>
    <t>بدلات  وانتقالات و مرتبات</t>
  </si>
  <si>
    <t xml:space="preserve">ايجار تمويلى  التوفيق </t>
  </si>
  <si>
    <t>الفرع</t>
  </si>
  <si>
    <t>المكان</t>
  </si>
  <si>
    <t>المؤجر</t>
  </si>
  <si>
    <t>حساب المؤجر</t>
  </si>
  <si>
    <t>الحاله</t>
  </si>
  <si>
    <t>شهر الاستحقاق</t>
  </si>
  <si>
    <t xml:space="preserve">مخزن اصناف </t>
  </si>
  <si>
    <t>احمد حنفى محمود ناصر</t>
  </si>
  <si>
    <t>لم يسدد</t>
  </si>
  <si>
    <t>محل</t>
  </si>
  <si>
    <t>شاديه محمود حسن حسانين</t>
  </si>
  <si>
    <t>الاسماعيليه</t>
  </si>
  <si>
    <t>شقتين</t>
  </si>
  <si>
    <t>عفاف احمد حسن عوضالله</t>
  </si>
  <si>
    <t>مخزن</t>
  </si>
  <si>
    <t>عادل عزيز وديع فهمى</t>
  </si>
  <si>
    <t>محمد صالح عبد الله رجب</t>
  </si>
  <si>
    <t xml:space="preserve">شقة </t>
  </si>
  <si>
    <t>محمد صالح عبدالله رجب</t>
  </si>
  <si>
    <t>سليمان فواد السيد خليل يوسف</t>
  </si>
  <si>
    <t>القوميه</t>
  </si>
  <si>
    <t>مخزن/2شقة</t>
  </si>
  <si>
    <t>محمد جمال السيد حسن</t>
  </si>
  <si>
    <t>هانى عبد الخالق سيد محمد</t>
  </si>
  <si>
    <t>اسوان (عادل مصطفى)</t>
  </si>
  <si>
    <t>ايجار بهتيم</t>
  </si>
  <si>
    <t>مهم جدآ- ا/ وليد رؤوف</t>
  </si>
  <si>
    <t>لمنع فسخ عقود الفيلات</t>
  </si>
  <si>
    <t>تمويل خزينة</t>
  </si>
  <si>
    <t>تخص ميدل ايست ويونى انفستمنت</t>
  </si>
  <si>
    <t>تخص ميدل ايست ويونى انفستمنت والمتحدة للصيادلة</t>
  </si>
  <si>
    <t>قسط شهر سبتمبر ( العقد كل 3 شهور) عدد 3 وحدات  ( G03.A - 104m  )  ( G02.B - 135m )  ( G03.E - 111m  )  تخص الشركة المتحدة للصيادلة</t>
  </si>
  <si>
    <t>وحدة مطالبات محكمة جنوب على حسابات بنوك المتحدة للصيادلة</t>
  </si>
  <si>
    <t>قسط شهر سبتمبر واكتوبر 2025 عبارة عن 4 وحدات مفيدا  ( G03.D - 145m  )  ( G03.C - 144m )  ( G03.B - 144m ) (G02.C- 153m) تخص الشركة المتحدة للصيادلة ( الشيكات شخصية باسم ايمن حسام)</t>
  </si>
  <si>
    <t xml:space="preserve">شركة خزنه  </t>
  </si>
  <si>
    <t xml:space="preserve">شركة وادى النيل </t>
  </si>
  <si>
    <t>لاحقا</t>
  </si>
  <si>
    <t>الفرق عبارة عن خصومات من المرتب لعدم البصمة</t>
  </si>
  <si>
    <t>محكمة رسم نسبى ورسوم خدمات</t>
  </si>
  <si>
    <t>ايجار بولاريس  الربع الرابع</t>
  </si>
  <si>
    <t>نجع حمادى</t>
  </si>
  <si>
    <t>الفلكى</t>
  </si>
  <si>
    <t>العوايد</t>
  </si>
  <si>
    <t>اتصالات</t>
  </si>
  <si>
    <t>من 1   الى    5,000    + 5%</t>
  </si>
  <si>
    <t xml:space="preserve">IT </t>
  </si>
  <si>
    <t>من 5,001   الى   60000</t>
  </si>
  <si>
    <t>من 6,001   الى   7,000</t>
  </si>
  <si>
    <t>من 7,001  الى  8,000</t>
  </si>
  <si>
    <t>من 8,001 الى 9,000</t>
  </si>
  <si>
    <t>من 9,001 الى 10,000</t>
  </si>
  <si>
    <t>مكافاة شريف حافظ</t>
  </si>
  <si>
    <t>المتحدة</t>
  </si>
  <si>
    <t>شرق اوسط</t>
  </si>
  <si>
    <t>توزيع</t>
  </si>
  <si>
    <t>اجمالى</t>
  </si>
  <si>
    <t>عدد الموظفين</t>
  </si>
  <si>
    <t>المرتبات</t>
  </si>
  <si>
    <t>موظف</t>
  </si>
  <si>
    <t>مرتب</t>
  </si>
  <si>
    <t>عدد الموظفين %</t>
  </si>
  <si>
    <t>القيمة %</t>
  </si>
  <si>
    <t>تم</t>
  </si>
  <si>
    <t xml:space="preserve">السويس </t>
  </si>
  <si>
    <t>شهرين</t>
  </si>
  <si>
    <t>بنى مزار</t>
  </si>
  <si>
    <t>بتى سويف</t>
  </si>
  <si>
    <t>القومية</t>
  </si>
  <si>
    <t>بهتيم</t>
  </si>
  <si>
    <t>سداد بقية المبلغ قبل 15 ديسمبر</t>
  </si>
  <si>
    <t xml:space="preserve">يوجد تامينات مكتب سوهاج مهم </t>
  </si>
  <si>
    <t>شركة اور التخصيم</t>
  </si>
  <si>
    <t>مرتب شهر اغسطس 2025</t>
  </si>
  <si>
    <t>ابن سينا (اسماعيل عمر  )</t>
  </si>
  <si>
    <t>تم دفع 5 مليون فى شهر نوفمبر 2025 والباقى 50 مليون تم دفع 20 مليون فى ديسمبر 2025</t>
  </si>
  <si>
    <t>uctd</t>
  </si>
  <si>
    <t>مراجعة باكين</t>
  </si>
  <si>
    <t>السويس</t>
  </si>
  <si>
    <t xml:space="preserve">مرتبات شهر نوفمبر  2025 </t>
  </si>
  <si>
    <t xml:space="preserve">مرتبات شهر نوفمبر  2025  </t>
  </si>
  <si>
    <t>يوم 10 ديسمبر</t>
  </si>
  <si>
    <t>ايميل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</si>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</sst>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F800]dddd\,\ mmmm\ dd\,\ yyyy"/>
    <numFmt numFmtId="167" formatCode="_-* #,##0.00\ _ج_._م_._‏_-;\-* #,##0.00\ _ج_._م_._‏_-;_-* &quot;-&quot;??\ _ج_._م_._‏_-;_-@_-"/>
    <numFmt numFmtId="168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3">
    <xf numFmtId="0" fontId="0" fillId="0" borderId="0" xfId="0"/>
    <xf numFmtId="0" fontId="2" fillId="2" borderId="0" xfId="0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 wrapText="1"/>
    </xf>
    <xf numFmtId="165" fontId="0" fillId="0" borderId="0" xfId="0" applyNumberFormat="1"/>
    <xf numFmtId="0" fontId="4" fillId="0" borderId="1" xfId="0" applyFont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1" xfId="2" applyNumberFormat="1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3" fontId="4" fillId="0" borderId="2" xfId="2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166" fontId="4" fillId="0" borderId="2" xfId="2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166" fontId="5" fillId="0" borderId="3" xfId="2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3" fontId="4" fillId="0" borderId="4" xfId="2" applyFont="1" applyBorder="1" applyAlignment="1">
      <alignment horizontal="center" vertical="center"/>
    </xf>
    <xf numFmtId="1" fontId="4" fillId="0" borderId="4" xfId="2" applyNumberFormat="1" applyFont="1" applyBorder="1" applyAlignment="1">
      <alignment horizontal="center" vertical="center"/>
    </xf>
    <xf numFmtId="166" fontId="4" fillId="0" borderId="4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5" fillId="0" borderId="5" xfId="2" applyFont="1" applyBorder="1" applyAlignment="1">
      <alignment horizontal="center" vertical="center"/>
    </xf>
    <xf numFmtId="1" fontId="5" fillId="0" borderId="5" xfId="2" applyNumberFormat="1" applyFont="1" applyBorder="1" applyAlignment="1">
      <alignment horizontal="center" vertical="center"/>
    </xf>
    <xf numFmtId="166" fontId="5" fillId="0" borderId="5" xfId="2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3" fontId="7" fillId="0" borderId="3" xfId="2" applyFont="1" applyBorder="1" applyAlignment="1">
      <alignment horizontal="center" vertical="center"/>
    </xf>
    <xf numFmtId="1" fontId="7" fillId="0" borderId="3" xfId="2" applyNumberFormat="1" applyFont="1" applyBorder="1" applyAlignment="1">
      <alignment horizontal="center" vertical="center"/>
    </xf>
    <xf numFmtId="166" fontId="7" fillId="0" borderId="3" xfId="2" applyNumberFormat="1" applyFont="1" applyBorder="1" applyAlignment="1">
      <alignment horizontal="center" vertical="center"/>
    </xf>
    <xf numFmtId="43" fontId="4" fillId="0" borderId="0" xfId="2" applyFont="1" applyBorder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14" fontId="4" fillId="0" borderId="1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4" fillId="0" borderId="1" xfId="2" applyFont="1" applyFill="1" applyBorder="1" applyAlignment="1">
      <alignment horizontal="center" vertical="center"/>
    </xf>
    <xf numFmtId="14" fontId="4" fillId="0" borderId="0" xfId="2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  <xf numFmtId="0" fontId="9" fillId="0" borderId="0" xfId="0" applyFont="1"/>
    <xf numFmtId="0" fontId="10" fillId="2" borderId="0" xfId="0" applyFont="1" applyFill="1" applyAlignment="1">
      <alignment horizontal="center"/>
    </xf>
    <xf numFmtId="164" fontId="10" fillId="2" borderId="0" xfId="1" applyFont="1" applyFill="1"/>
    <xf numFmtId="0" fontId="9" fillId="0" borderId="0" xfId="0" applyFont="1" applyAlignment="1">
      <alignment horizontal="center"/>
    </xf>
    <xf numFmtId="164" fontId="9" fillId="0" borderId="0" xfId="1" applyFont="1"/>
    <xf numFmtId="0" fontId="9" fillId="3" borderId="0" xfId="0" applyFont="1" applyFill="1" applyAlignment="1">
      <alignment horizontal="center"/>
    </xf>
    <xf numFmtId="164" fontId="9" fillId="3" borderId="0" xfId="1" applyFont="1" applyFill="1"/>
    <xf numFmtId="0" fontId="9" fillId="3" borderId="0" xfId="0" applyFont="1" applyFill="1"/>
    <xf numFmtId="167" fontId="9" fillId="0" borderId="0" xfId="0" applyNumberFormat="1" applyFont="1"/>
    <xf numFmtId="164" fontId="9" fillId="0" borderId="0" xfId="0" applyNumberFormat="1" applyFont="1"/>
    <xf numFmtId="0" fontId="11" fillId="2" borderId="0" xfId="0" applyFont="1" applyFill="1" applyAlignment="1">
      <alignment horizontal="center"/>
    </xf>
    <xf numFmtId="164" fontId="11" fillId="2" borderId="0" xfId="1" applyFont="1" applyFill="1"/>
    <xf numFmtId="165" fontId="2" fillId="6" borderId="9" xfId="1" applyNumberFormat="1" applyFont="1" applyFill="1" applyBorder="1" applyAlignment="1">
      <alignment horizontal="center" vertical="center" wrapText="1"/>
    </xf>
    <xf numFmtId="165" fontId="2" fillId="6" borderId="9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13" fillId="7" borderId="4" xfId="0" applyNumberFormat="1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center" vertical="center" wrapText="1" readingOrder="1"/>
    </xf>
    <xf numFmtId="165" fontId="14" fillId="0" borderId="4" xfId="1" applyNumberFormat="1" applyFont="1" applyBorder="1" applyAlignment="1">
      <alignment horizontal="left" vertical="center" wrapText="1" readingOrder="1"/>
    </xf>
    <xf numFmtId="0" fontId="14" fillId="3" borderId="4" xfId="0" applyFont="1" applyFill="1" applyBorder="1" applyAlignment="1">
      <alignment horizontal="right" vertical="center" wrapText="1" readingOrder="2"/>
    </xf>
    <xf numFmtId="0" fontId="14" fillId="3" borderId="4" xfId="0" applyFont="1" applyFill="1" applyBorder="1" applyAlignment="1">
      <alignment horizontal="center" vertical="center" wrapText="1" readingOrder="1"/>
    </xf>
    <xf numFmtId="165" fontId="14" fillId="3" borderId="4" xfId="1" applyNumberFormat="1" applyFont="1" applyFill="1" applyBorder="1" applyAlignment="1">
      <alignment horizontal="left" vertical="center" wrapText="1" readingOrder="1"/>
    </xf>
    <xf numFmtId="165" fontId="0" fillId="0" borderId="0" xfId="1" applyNumberFormat="1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5" fontId="0" fillId="6" borderId="9" xfId="1" applyNumberFormat="1" applyFont="1" applyFill="1" applyBorder="1" applyAlignment="1">
      <alignment vertical="center"/>
    </xf>
    <xf numFmtId="165" fontId="0" fillId="3" borderId="0" xfId="1" applyNumberFormat="1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165" fontId="2" fillId="6" borderId="9" xfId="1" applyNumberFormat="1" applyFont="1" applyFill="1" applyBorder="1" applyAlignment="1">
      <alignment vertical="center"/>
    </xf>
    <xf numFmtId="165" fontId="0" fillId="0" borderId="0" xfId="1" applyNumberFormat="1" applyFont="1" applyFill="1" applyAlignment="1">
      <alignment vertical="center"/>
    </xf>
    <xf numFmtId="165" fontId="0" fillId="0" borderId="0" xfId="0" applyNumberFormat="1" applyAlignment="1">
      <alignment vertical="center"/>
    </xf>
    <xf numFmtId="165" fontId="0" fillId="6" borderId="9" xfId="0" applyNumberFormat="1" applyFill="1" applyBorder="1" applyAlignment="1">
      <alignment vertical="center"/>
    </xf>
    <xf numFmtId="165" fontId="0" fillId="6" borderId="0" xfId="1" applyNumberFormat="1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3" borderId="0" xfId="0" applyFill="1" applyAlignment="1">
      <alignment vertical="center"/>
    </xf>
    <xf numFmtId="165" fontId="0" fillId="5" borderId="0" xfId="1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165" fontId="0" fillId="4" borderId="0" xfId="1" applyNumberFormat="1" applyFont="1" applyFill="1" applyAlignment="1">
      <alignment vertical="center"/>
    </xf>
    <xf numFmtId="0" fontId="0" fillId="4" borderId="0" xfId="0" applyFill="1" applyAlignment="1">
      <alignment vertical="center"/>
    </xf>
    <xf numFmtId="165" fontId="0" fillId="4" borderId="0" xfId="0" applyNumberFormat="1" applyFill="1" applyAlignment="1">
      <alignment vertical="center"/>
    </xf>
    <xf numFmtId="165" fontId="0" fillId="4" borderId="9" xfId="0" applyNumberFormat="1" applyFill="1" applyBorder="1" applyAlignment="1">
      <alignment vertical="center"/>
    </xf>
    <xf numFmtId="165" fontId="0" fillId="4" borderId="9" xfId="1" applyNumberFormat="1" applyFont="1" applyFill="1" applyBorder="1" applyAlignment="1">
      <alignment vertical="center"/>
    </xf>
    <xf numFmtId="38" fontId="12" fillId="4" borderId="0" xfId="1" applyNumberFormat="1" applyFont="1" applyFill="1" applyAlignment="1">
      <alignment vertical="center"/>
    </xf>
    <xf numFmtId="38" fontId="12" fillId="6" borderId="9" xfId="1" applyNumberFormat="1" applyFont="1" applyFill="1" applyBorder="1" applyAlignment="1">
      <alignment vertical="center"/>
    </xf>
    <xf numFmtId="38" fontId="2" fillId="2" borderId="0" xfId="1" applyNumberFormat="1" applyFont="1" applyFill="1" applyAlignment="1">
      <alignment vertical="center"/>
    </xf>
    <xf numFmtId="38" fontId="2" fillId="6" borderId="9" xfId="1" applyNumberFormat="1" applyFont="1" applyFill="1" applyBorder="1" applyAlignment="1">
      <alignment vertical="center"/>
    </xf>
    <xf numFmtId="0" fontId="0" fillId="6" borderId="9" xfId="0" applyFill="1" applyBorder="1" applyAlignment="1">
      <alignment vertical="center"/>
    </xf>
    <xf numFmtId="0" fontId="0" fillId="0" borderId="0" xfId="0" applyAlignment="1">
      <alignment horizontal="right" vertical="center"/>
    </xf>
    <xf numFmtId="0" fontId="14" fillId="7" borderId="1" xfId="0" applyFont="1" applyFill="1" applyBorder="1" applyAlignment="1">
      <alignment horizontal="center" vertical="center" wrapText="1" readingOrder="2"/>
    </xf>
    <xf numFmtId="0" fontId="14" fillId="7" borderId="4" xfId="0" applyFont="1" applyFill="1" applyBorder="1" applyAlignment="1">
      <alignment vertical="center" wrapText="1" readingOrder="2"/>
    </xf>
    <xf numFmtId="0" fontId="14" fillId="7" borderId="4" xfId="0" applyFont="1" applyFill="1" applyBorder="1" applyAlignment="1">
      <alignment horizontal="center" vertical="center" wrapText="1" readingOrder="1"/>
    </xf>
    <xf numFmtId="165" fontId="14" fillId="7" borderId="4" xfId="1" applyNumberFormat="1" applyFont="1" applyFill="1" applyBorder="1" applyAlignment="1">
      <alignment vertical="center" wrapText="1" readingOrder="1"/>
    </xf>
    <xf numFmtId="17" fontId="16" fillId="8" borderId="19" xfId="0" applyNumberFormat="1" applyFont="1" applyFill="1" applyBorder="1" applyAlignment="1">
      <alignment horizontal="center" vertical="center"/>
    </xf>
    <xf numFmtId="17" fontId="16" fillId="8" borderId="20" xfId="0" applyNumberFormat="1" applyFont="1" applyFill="1" applyBorder="1" applyAlignment="1">
      <alignment horizontal="center" vertical="center"/>
    </xf>
    <xf numFmtId="17" fontId="16" fillId="8" borderId="20" xfId="0" applyNumberFormat="1" applyFont="1" applyFill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0" fontId="3" fillId="0" borderId="22" xfId="0" applyFont="1" applyBorder="1"/>
    <xf numFmtId="165" fontId="18" fillId="0" borderId="16" xfId="1" applyNumberFormat="1" applyFont="1" applyBorder="1"/>
    <xf numFmtId="165" fontId="18" fillId="0" borderId="23" xfId="1" applyNumberFormat="1" applyFont="1" applyBorder="1"/>
    <xf numFmtId="165" fontId="18" fillId="6" borderId="23" xfId="1" applyNumberFormat="1" applyFont="1" applyFill="1" applyBorder="1" applyAlignment="1">
      <alignment horizontal="center" wrapText="1"/>
    </xf>
    <xf numFmtId="165" fontId="18" fillId="6" borderId="16" xfId="1" applyNumberFormat="1" applyFont="1" applyFill="1" applyBorder="1" applyAlignment="1">
      <alignment horizontal="center" wrapText="1"/>
    </xf>
    <xf numFmtId="165" fontId="18" fillId="6" borderId="24" xfId="1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3" fillId="0" borderId="6" xfId="0" applyFont="1" applyBorder="1"/>
    <xf numFmtId="165" fontId="18" fillId="0" borderId="25" xfId="1" applyNumberFormat="1" applyFont="1" applyBorder="1"/>
    <xf numFmtId="165" fontId="18" fillId="0" borderId="7" xfId="1" applyNumberFormat="1" applyFont="1" applyBorder="1"/>
    <xf numFmtId="165" fontId="18" fillId="6" borderId="7" xfId="1" applyNumberFormat="1" applyFont="1" applyFill="1" applyBorder="1" applyAlignment="1">
      <alignment horizontal="center" wrapText="1"/>
    </xf>
    <xf numFmtId="165" fontId="18" fillId="6" borderId="25" xfId="1" applyNumberFormat="1" applyFont="1" applyFill="1" applyBorder="1" applyAlignment="1">
      <alignment horizontal="center" wrapText="1"/>
    </xf>
    <xf numFmtId="165" fontId="18" fillId="3" borderId="7" xfId="1" applyNumberFormat="1" applyFont="1" applyFill="1" applyBorder="1" applyAlignment="1">
      <alignment horizontal="center" wrapText="1"/>
    </xf>
    <xf numFmtId="165" fontId="18" fillId="3" borderId="25" xfId="1" applyNumberFormat="1" applyFont="1" applyFill="1" applyBorder="1"/>
    <xf numFmtId="0" fontId="3" fillId="0" borderId="2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17" fillId="6" borderId="2" xfId="0" applyFont="1" applyFill="1" applyBorder="1" applyAlignment="1">
      <alignment horizontal="center"/>
    </xf>
    <xf numFmtId="0" fontId="3" fillId="0" borderId="26" xfId="0" applyFont="1" applyBorder="1"/>
    <xf numFmtId="165" fontId="18" fillId="0" borderId="27" xfId="1" applyNumberFormat="1" applyFont="1" applyBorder="1"/>
    <xf numFmtId="165" fontId="18" fillId="0" borderId="28" xfId="1" applyNumberFormat="1" applyFont="1" applyBorder="1"/>
    <xf numFmtId="165" fontId="18" fillId="6" borderId="28" xfId="1" applyNumberFormat="1" applyFont="1" applyFill="1" applyBorder="1" applyAlignment="1">
      <alignment horizontal="center" wrapText="1"/>
    </xf>
    <xf numFmtId="165" fontId="18" fillId="6" borderId="27" xfId="1" applyNumberFormat="1" applyFont="1" applyFill="1" applyBorder="1" applyAlignment="1">
      <alignment horizontal="center" wrapText="1"/>
    </xf>
    <xf numFmtId="0" fontId="15" fillId="8" borderId="13" xfId="0" applyFont="1" applyFill="1" applyBorder="1"/>
    <xf numFmtId="0" fontId="15" fillId="8" borderId="14" xfId="0" applyFont="1" applyFill="1" applyBorder="1"/>
    <xf numFmtId="165" fontId="16" fillId="8" borderId="14" xfId="1" applyNumberFormat="1" applyFont="1" applyFill="1" applyBorder="1"/>
    <xf numFmtId="165" fontId="16" fillId="8" borderId="29" xfId="1" applyNumberFormat="1" applyFont="1" applyFill="1" applyBorder="1"/>
    <xf numFmtId="165" fontId="15" fillId="8" borderId="20" xfId="1" applyNumberFormat="1" applyFont="1" applyFill="1" applyBorder="1"/>
    <xf numFmtId="9" fontId="0" fillId="0" borderId="0" xfId="0" applyNumberFormat="1"/>
    <xf numFmtId="0" fontId="0" fillId="0" borderId="0" xfId="0" applyAlignment="1">
      <alignment horizontal="center" vertical="center"/>
    </xf>
    <xf numFmtId="165" fontId="0" fillId="3" borderId="0" xfId="0" applyNumberFormat="1" applyFill="1" applyAlignment="1">
      <alignment vertical="center"/>
    </xf>
    <xf numFmtId="165" fontId="3" fillId="0" borderId="0" xfId="0" applyNumberFormat="1" applyFont="1"/>
    <xf numFmtId="0" fontId="3" fillId="0" borderId="0" xfId="0" applyFont="1" applyAlignment="1">
      <alignment wrapText="1"/>
    </xf>
    <xf numFmtId="0" fontId="0" fillId="9" borderId="0" xfId="0" applyFill="1" applyAlignment="1">
      <alignment vertical="center"/>
    </xf>
    <xf numFmtId="165" fontId="0" fillId="9" borderId="0" xfId="1" applyNumberFormat="1" applyFont="1" applyFill="1" applyAlignment="1">
      <alignment vertical="center"/>
    </xf>
    <xf numFmtId="165" fontId="0" fillId="9" borderId="0" xfId="0" applyNumberFormat="1" applyFill="1" applyAlignment="1">
      <alignment vertical="center"/>
    </xf>
    <xf numFmtId="165" fontId="0" fillId="9" borderId="9" xfId="0" applyNumberFormat="1" applyFill="1" applyBorder="1" applyAlignment="1">
      <alignment vertical="center"/>
    </xf>
    <xf numFmtId="165" fontId="0" fillId="9" borderId="9" xfId="1" applyNumberFormat="1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 wrapText="1" readingOrder="2"/>
    </xf>
    <xf numFmtId="165" fontId="0" fillId="6" borderId="0" xfId="0" applyNumberFormat="1" applyFill="1" applyAlignment="1">
      <alignment vertical="center"/>
    </xf>
    <xf numFmtId="0" fontId="0" fillId="0" borderId="0" xfId="0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0" fillId="9" borderId="0" xfId="0" applyFill="1" applyAlignment="1">
      <alignment horizontal="right" vertical="center" wrapText="1"/>
    </xf>
    <xf numFmtId="0" fontId="0" fillId="9" borderId="0" xfId="0" applyFill="1" applyAlignment="1">
      <alignment vertical="center" wrapText="1"/>
    </xf>
    <xf numFmtId="165" fontId="0" fillId="6" borderId="0" xfId="1" applyNumberFormat="1" applyFont="1" applyFill="1" applyBorder="1" applyAlignment="1">
      <alignment vertical="center"/>
    </xf>
    <xf numFmtId="167" fontId="0" fillId="0" borderId="0" xfId="0" applyNumberFormat="1" applyAlignment="1">
      <alignment vertical="center"/>
    </xf>
    <xf numFmtId="3" fontId="0" fillId="6" borderId="0" xfId="0" applyNumberFormat="1" applyFill="1" applyAlignment="1">
      <alignment vertical="center"/>
    </xf>
    <xf numFmtId="0" fontId="0" fillId="0" borderId="30" xfId="0" applyBorder="1"/>
    <xf numFmtId="0" fontId="14" fillId="7" borderId="33" xfId="0" applyFont="1" applyFill="1" applyBorder="1" applyAlignment="1">
      <alignment horizontal="center" vertical="center" wrapText="1" readingOrder="2"/>
    </xf>
    <xf numFmtId="0" fontId="14" fillId="7" borderId="34" xfId="0" applyFont="1" applyFill="1" applyBorder="1" applyAlignment="1">
      <alignment horizontal="center" vertical="center" wrapText="1" readingOrder="2"/>
    </xf>
    <xf numFmtId="0" fontId="14" fillId="7" borderId="35" xfId="0" applyFont="1" applyFill="1" applyBorder="1" applyAlignment="1">
      <alignment vertical="center" wrapText="1" readingOrder="2"/>
    </xf>
    <xf numFmtId="0" fontId="14" fillId="7" borderId="36" xfId="0" applyFont="1" applyFill="1" applyBorder="1" applyAlignment="1">
      <alignment horizontal="center" vertical="center" wrapText="1" readingOrder="1"/>
    </xf>
    <xf numFmtId="0" fontId="14" fillId="7" borderId="37" xfId="0" applyFont="1" applyFill="1" applyBorder="1" applyAlignment="1">
      <alignment vertical="center" wrapText="1" readingOrder="2"/>
    </xf>
    <xf numFmtId="0" fontId="14" fillId="7" borderId="38" xfId="0" applyFont="1" applyFill="1" applyBorder="1" applyAlignment="1">
      <alignment horizontal="center" vertical="center" wrapText="1" readingOrder="1"/>
    </xf>
    <xf numFmtId="0" fontId="14" fillId="7" borderId="39" xfId="0" applyFont="1" applyFill="1" applyBorder="1" applyAlignment="1">
      <alignment horizontal="center" vertical="center" wrapText="1" readingOrder="1"/>
    </xf>
    <xf numFmtId="0" fontId="0" fillId="0" borderId="40" xfId="0" applyBorder="1"/>
    <xf numFmtId="0" fontId="14" fillId="7" borderId="41" xfId="0" applyFont="1" applyFill="1" applyBorder="1" applyAlignment="1">
      <alignment horizontal="center" vertical="center" wrapText="1" readingOrder="2"/>
    </xf>
    <xf numFmtId="0" fontId="14" fillId="7" borderId="42" xfId="0" applyFont="1" applyFill="1" applyBorder="1" applyAlignment="1">
      <alignment vertical="center" wrapText="1" readingOrder="2"/>
    </xf>
    <xf numFmtId="0" fontId="19" fillId="7" borderId="41" xfId="0" applyFont="1" applyFill="1" applyBorder="1" applyAlignment="1">
      <alignment horizontal="center" vertical="center" wrapText="1" readingOrder="2"/>
    </xf>
    <xf numFmtId="0" fontId="14" fillId="7" borderId="43" xfId="0" applyFont="1" applyFill="1" applyBorder="1" applyAlignment="1">
      <alignment vertical="center" wrapText="1" readingOrder="2"/>
    </xf>
    <xf numFmtId="0" fontId="14" fillId="7" borderId="8" xfId="0" applyFont="1" applyFill="1" applyBorder="1" applyAlignment="1">
      <alignment horizontal="center" vertical="center" wrapText="1" readingOrder="2"/>
    </xf>
    <xf numFmtId="0" fontId="14" fillId="7" borderId="35" xfId="0" applyFont="1" applyFill="1" applyBorder="1" applyAlignment="1">
      <alignment horizontal="center" vertical="center" wrapText="1" readingOrder="1"/>
    </xf>
    <xf numFmtId="0" fontId="14" fillId="7" borderId="37" xfId="0" applyFont="1" applyFill="1" applyBorder="1" applyAlignment="1">
      <alignment horizontal="center" vertical="center" wrapText="1" readingOrder="1"/>
    </xf>
    <xf numFmtId="3" fontId="14" fillId="7" borderId="44" xfId="0" applyNumberFormat="1" applyFont="1" applyFill="1" applyBorder="1" applyAlignment="1">
      <alignment horizontal="center" vertical="center" wrapText="1" readingOrder="1"/>
    </xf>
    <xf numFmtId="3" fontId="14" fillId="7" borderId="45" xfId="0" applyNumberFormat="1" applyFont="1" applyFill="1" applyBorder="1" applyAlignment="1">
      <alignment horizontal="center" vertical="center" wrapText="1" readingOrder="1"/>
    </xf>
    <xf numFmtId="3" fontId="14" fillId="7" borderId="4" xfId="0" applyNumberFormat="1" applyFont="1" applyFill="1" applyBorder="1" applyAlignment="1">
      <alignment horizontal="center" vertical="center" wrapText="1" readingOrder="1"/>
    </xf>
    <xf numFmtId="3" fontId="14" fillId="7" borderId="38" xfId="0" applyNumberFormat="1" applyFont="1" applyFill="1" applyBorder="1" applyAlignment="1">
      <alignment horizontal="center" vertical="center" wrapText="1" readingOrder="1"/>
    </xf>
    <xf numFmtId="9" fontId="0" fillId="0" borderId="0" xfId="5" applyFont="1"/>
    <xf numFmtId="0" fontId="3" fillId="0" borderId="0" xfId="0" applyFont="1"/>
    <xf numFmtId="168" fontId="0" fillId="0" borderId="0" xfId="0" applyNumberFormat="1"/>
    <xf numFmtId="168" fontId="14" fillId="7" borderId="33" xfId="0" applyNumberFormat="1" applyFont="1" applyFill="1" applyBorder="1" applyAlignment="1">
      <alignment horizontal="center" vertical="center" wrapText="1" readingOrder="2"/>
    </xf>
    <xf numFmtId="168" fontId="14" fillId="7" borderId="35" xfId="5" applyNumberFormat="1" applyFont="1" applyFill="1" applyBorder="1" applyAlignment="1">
      <alignment horizontal="center" vertical="center" wrapText="1" readingOrder="1"/>
    </xf>
    <xf numFmtId="168" fontId="14" fillId="7" borderId="33" xfId="5" applyNumberFormat="1" applyFont="1" applyFill="1" applyBorder="1" applyAlignment="1">
      <alignment horizontal="center" vertical="center" wrapText="1" readingOrder="1"/>
    </xf>
    <xf numFmtId="168" fontId="14" fillId="7" borderId="1" xfId="5" applyNumberFormat="1" applyFont="1" applyFill="1" applyBorder="1" applyAlignment="1">
      <alignment horizontal="center" vertical="center" wrapText="1" readingOrder="1"/>
    </xf>
    <xf numFmtId="168" fontId="14" fillId="7" borderId="34" xfId="5" applyNumberFormat="1" applyFont="1" applyFill="1" applyBorder="1" applyAlignment="1">
      <alignment horizontal="center" vertical="center" wrapText="1" readingOrder="1"/>
    </xf>
    <xf numFmtId="168" fontId="14" fillId="7" borderId="47" xfId="5" applyNumberFormat="1" applyFont="1" applyFill="1" applyBorder="1" applyAlignment="1">
      <alignment horizontal="center" vertical="center" wrapText="1" readingOrder="1"/>
    </xf>
    <xf numFmtId="168" fontId="14" fillId="7" borderId="48" xfId="5" applyNumberFormat="1" applyFont="1" applyFill="1" applyBorder="1" applyAlignment="1">
      <alignment horizontal="center" vertical="center" wrapText="1" readingOrder="1"/>
    </xf>
    <xf numFmtId="0" fontId="0" fillId="3" borderId="0" xfId="0" applyFill="1" applyAlignment="1">
      <alignment horizontal="center" vertical="center" wrapText="1"/>
    </xf>
    <xf numFmtId="0" fontId="14" fillId="7" borderId="46" xfId="0" applyFont="1" applyFill="1" applyBorder="1" applyAlignment="1">
      <alignment horizontal="center" vertical="center" wrapText="1" readingOrder="2"/>
    </xf>
    <xf numFmtId="0" fontId="14" fillId="7" borderId="31" xfId="0" applyFont="1" applyFill="1" applyBorder="1" applyAlignment="1">
      <alignment horizontal="center" vertical="center" wrapText="1" readingOrder="2"/>
    </xf>
    <xf numFmtId="0" fontId="14" fillId="7" borderId="32" xfId="0" applyFont="1" applyFill="1" applyBorder="1" applyAlignment="1">
      <alignment horizontal="center" vertical="center" wrapText="1" readingOrder="2"/>
    </xf>
    <xf numFmtId="0" fontId="15" fillId="8" borderId="16" xfId="0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5" fillId="8" borderId="17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/>
    </xf>
    <xf numFmtId="0" fontId="16" fillId="8" borderId="14" xfId="0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43" fontId="4" fillId="0" borderId="6" xfId="2" applyFont="1" applyBorder="1" applyAlignment="1">
      <alignment horizontal="center" vertical="center"/>
    </xf>
    <xf numFmtId="43" fontId="4" fillId="0" borderId="7" xfId="2" applyFont="1" applyBorder="1" applyAlignment="1">
      <alignment horizontal="center" vertical="center"/>
    </xf>
    <xf numFmtId="43" fontId="4" fillId="0" borderId="8" xfId="2" applyFont="1" applyBorder="1" applyAlignment="1">
      <alignment horizontal="center" vertical="center"/>
    </xf>
    <xf numFmtId="164" fontId="8" fillId="0" borderId="0" xfId="1" applyFont="1" applyAlignment="1">
      <alignment horizontal="center"/>
    </xf>
  </cellXfs>
  <cellStyles count="6">
    <cellStyle name="Comma" xfId="1" builtinId="3"/>
    <cellStyle name="Comma 2" xfId="2" xr:uid="{4414FA7A-EDF3-4E0A-9CAD-1A7831189BB8}"/>
    <cellStyle name="Comma 2 2" xfId="4" xr:uid="{47E10667-FBF2-49C8-85AB-2CD3206958CF}"/>
    <cellStyle name="Comma 3" xfId="3" xr:uid="{AC205A3C-FD80-4236-8217-F107FDDC1CD3}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:\Users\n417\Desktop\&#1575;&#1589;&#1608;&#1604;%20&#1608;&#1575;&#1604;&#1578;&#1586;&#1575;&#1605;&#1575;&#1578;%20&#1575;&#1604;&#1605;&#1580;&#1605;&#1608;&#1593;&#1577;\&#1575;&#1604;&#1575;&#1610;&#1580;&#1575;&#1585;%20&#1575;&#1604;&#1578;&#1605;&#1608;&#1610;&#1604;&#1609;%20&#1588;&#1585;&#1603;&#1575;&#1578;%20Ho%20group%20-%20Copy.xlsx" TargetMode="External"/><Relationship Id="rId1" Type="http://schemas.openxmlformats.org/officeDocument/2006/relationships/externalLinkPath" Target="/Users/n417/Desktop/&#1575;&#1589;&#1608;&#1604;%20&#1608;&#1575;&#1604;&#1578;&#1586;&#1575;&#1605;&#1575;&#1578;%20&#1575;&#1604;&#1605;&#1580;&#1605;&#1608;&#1593;&#1577;/&#1575;&#1604;&#1575;&#1610;&#1580;&#1575;&#1585;%20&#1575;&#1604;&#1578;&#1605;&#1608;&#1610;&#1604;&#1609;%20&#1588;&#1585;&#1603;&#1575;&#1578;%20Ho%20group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 group"/>
      <sheetName val="هيرمس"/>
      <sheetName val="كوربليس"/>
      <sheetName val="بداية"/>
      <sheetName val="ايزاليس"/>
      <sheetName val="التوفيق"/>
      <sheetName val="بى ام"/>
      <sheetName val="انكوليس"/>
      <sheetName val="اور "/>
      <sheetName val="بلتون"/>
      <sheetName val="الاهلى للتاجير التموي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S8">
            <v>45344442</v>
          </cell>
          <cell r="T8">
            <v>4536769</v>
          </cell>
          <cell r="U8">
            <v>1290083</v>
          </cell>
        </row>
        <row r="21">
          <cell r="S21">
            <v>23888958</v>
          </cell>
          <cell r="U21">
            <v>3796515</v>
          </cell>
        </row>
        <row r="27">
          <cell r="S27">
            <v>21377669</v>
          </cell>
          <cell r="U27">
            <v>3680806.4849999999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89B0-0715-4506-A88E-36DEC1F9E03D}">
  <dimension ref="A1:Y125"/>
  <sheetViews>
    <sheetView rightToLeft="1" tabSelected="1" topLeftCell="A30" zoomScale="121" zoomScaleNormal="132" workbookViewId="0">
      <selection activeCell="Q118" sqref="Q118"/>
    </sheetView>
  </sheetViews>
  <sheetFormatPr defaultColWidth="8.7265625" defaultRowHeight="24" customHeight="1" x14ac:dyDescent="0.35"/>
  <cols>
    <col min="1" max="1" width="10.08984375" style="64" customWidth="1"/>
    <col min="2" max="2" width="31.7265625" style="64" bestFit="1" customWidth="1"/>
    <col min="3" max="3" width="9.6328125" style="64" bestFit="1" customWidth="1"/>
    <col min="4" max="4" width="13.81640625" style="63" hidden="1" customWidth="1"/>
    <col min="5" max="5" width="17.08984375" style="63" hidden="1" customWidth="1"/>
    <col min="6" max="6" width="15.90625" style="63" hidden="1" customWidth="1"/>
    <col min="7" max="7" width="16.1796875" style="63" hidden="1" customWidth="1"/>
    <col min="8" max="8" width="18.7265625" style="63" bestFit="1" customWidth="1"/>
    <col min="9" max="9" width="0" style="64" hidden="1" customWidth="1"/>
    <col min="10" max="10" width="13" style="64" hidden="1" customWidth="1"/>
    <col min="11" max="11" width="4.453125" style="64" hidden="1" customWidth="1"/>
    <col min="12" max="12" width="13" style="64" hidden="1" customWidth="1"/>
    <col min="13" max="13" width="14.08984375" style="89" hidden="1" customWidth="1"/>
    <col min="14" max="14" width="13" style="64" hidden="1" customWidth="1"/>
    <col min="15" max="15" width="0.36328125" style="64" hidden="1" customWidth="1"/>
    <col min="16" max="16" width="13.453125" style="64" hidden="1" customWidth="1"/>
    <col min="17" max="17" width="13" style="64" customWidth="1"/>
    <col min="18" max="18" width="35.54296875" style="64" customWidth="1"/>
    <col min="19" max="19" width="15.08984375" style="76" hidden="1" customWidth="1"/>
    <col min="20" max="20" width="29.81640625" style="76" hidden="1" customWidth="1"/>
    <col min="21" max="21" width="21.36328125" style="64" hidden="1" customWidth="1"/>
    <col min="22" max="22" width="21.36328125" style="64" customWidth="1"/>
    <col min="23" max="23" width="10.08984375" style="64" bestFit="1" customWidth="1"/>
    <col min="24" max="16384" width="8.7265625" style="64"/>
  </cols>
  <sheetData>
    <row r="1" spans="1:25" ht="24" customHeight="1" x14ac:dyDescent="0.35">
      <c r="L1" s="65"/>
      <c r="M1" s="66"/>
      <c r="N1" s="67" t="s">
        <v>146</v>
      </c>
      <c r="Q1" s="67" t="s">
        <v>263</v>
      </c>
    </row>
    <row r="2" spans="1:25" ht="24" customHeight="1" x14ac:dyDescent="0.35">
      <c r="B2" s="1" t="s">
        <v>0</v>
      </c>
      <c r="C2" s="1" t="s">
        <v>38</v>
      </c>
      <c r="D2" s="2" t="s">
        <v>1</v>
      </c>
      <c r="E2" s="2"/>
      <c r="F2" s="3"/>
      <c r="G2" s="2"/>
      <c r="H2" s="2"/>
      <c r="J2" s="2" t="s">
        <v>2</v>
      </c>
      <c r="L2" s="3" t="s">
        <v>27</v>
      </c>
      <c r="M2" s="52"/>
      <c r="N2" s="3" t="s">
        <v>27</v>
      </c>
      <c r="Q2" s="3" t="s">
        <v>27</v>
      </c>
    </row>
    <row r="3" spans="1:25" ht="24" customHeight="1" x14ac:dyDescent="0.35">
      <c r="B3" s="64" t="s">
        <v>116</v>
      </c>
      <c r="C3" s="64" t="s">
        <v>37</v>
      </c>
      <c r="J3" s="63">
        <f>120000+1200000</f>
        <v>1320000</v>
      </c>
      <c r="L3" s="63">
        <v>13554000</v>
      </c>
      <c r="M3" s="68"/>
      <c r="N3" s="63">
        <v>13633000</v>
      </c>
      <c r="Q3" s="63">
        <v>0</v>
      </c>
    </row>
    <row r="4" spans="1:25" ht="24" customHeight="1" x14ac:dyDescent="0.35">
      <c r="B4" s="64" t="s">
        <v>141</v>
      </c>
      <c r="C4" s="64" t="s">
        <v>37</v>
      </c>
      <c r="J4" s="63"/>
      <c r="L4" s="63"/>
      <c r="M4" s="68"/>
      <c r="N4" s="63">
        <v>0</v>
      </c>
      <c r="Q4" s="63">
        <v>0</v>
      </c>
    </row>
    <row r="5" spans="1:25" ht="24" customHeight="1" x14ac:dyDescent="0.35">
      <c r="B5" s="64" t="s">
        <v>164</v>
      </c>
      <c r="C5" s="64" t="s">
        <v>37</v>
      </c>
      <c r="J5" s="63"/>
      <c r="L5" s="63"/>
      <c r="M5" s="68"/>
      <c r="N5" s="63"/>
      <c r="Q5" s="63">
        <v>0</v>
      </c>
    </row>
    <row r="6" spans="1:25" ht="24" customHeight="1" x14ac:dyDescent="0.35">
      <c r="B6" s="64" t="s">
        <v>128</v>
      </c>
      <c r="C6" s="64" t="s">
        <v>258</v>
      </c>
      <c r="J6" s="63"/>
      <c r="L6" s="63">
        <v>0</v>
      </c>
      <c r="M6" s="68"/>
      <c r="N6" s="63">
        <v>0</v>
      </c>
      <c r="Q6" s="63">
        <v>0</v>
      </c>
    </row>
    <row r="7" spans="1:25" ht="24" customHeight="1" x14ac:dyDescent="0.35">
      <c r="B7" s="64" t="s">
        <v>116</v>
      </c>
      <c r="C7" s="64" t="s">
        <v>258</v>
      </c>
      <c r="J7" s="63"/>
      <c r="L7" s="63"/>
      <c r="M7" s="68"/>
      <c r="N7" s="63"/>
      <c r="Q7" s="63">
        <v>10000000</v>
      </c>
      <c r="S7" s="141"/>
      <c r="V7" s="63"/>
    </row>
    <row r="8" spans="1:25" ht="24" customHeight="1" x14ac:dyDescent="0.35">
      <c r="B8" s="64" t="s">
        <v>116</v>
      </c>
      <c r="C8" s="64" t="s">
        <v>115</v>
      </c>
      <c r="J8" s="63"/>
      <c r="L8" s="69"/>
      <c r="M8" s="68"/>
      <c r="N8" s="63"/>
      <c r="Q8" s="63"/>
    </row>
    <row r="9" spans="1:25" ht="24" customHeight="1" x14ac:dyDescent="0.35">
      <c r="B9" s="64" t="s">
        <v>163</v>
      </c>
      <c r="C9" s="64" t="s">
        <v>115</v>
      </c>
      <c r="J9" s="63"/>
      <c r="L9" s="63">
        <v>0</v>
      </c>
      <c r="M9" s="68"/>
      <c r="N9" s="63">
        <v>1040000</v>
      </c>
      <c r="Q9" s="63">
        <v>21000000</v>
      </c>
    </row>
    <row r="10" spans="1:25" ht="24" customHeight="1" x14ac:dyDescent="0.35">
      <c r="B10" s="64" t="s">
        <v>151</v>
      </c>
      <c r="C10" s="64" t="s">
        <v>115</v>
      </c>
      <c r="J10" s="63"/>
      <c r="L10" s="63"/>
      <c r="M10" s="68"/>
      <c r="N10" s="63"/>
      <c r="Q10" s="63">
        <v>0</v>
      </c>
    </row>
    <row r="11" spans="1:25" ht="24" customHeight="1" x14ac:dyDescent="0.35">
      <c r="B11" s="1" t="s">
        <v>3</v>
      </c>
      <c r="C11" s="1"/>
      <c r="D11" s="70"/>
      <c r="E11" s="70"/>
      <c r="F11" s="70"/>
      <c r="G11" s="70"/>
      <c r="H11" s="70"/>
      <c r="J11" s="70">
        <f>SUM(J3:J10)</f>
        <v>1320000</v>
      </c>
      <c r="L11" s="70">
        <f>SUM(L3:L10)</f>
        <v>13554000</v>
      </c>
      <c r="M11" s="71"/>
      <c r="N11" s="70">
        <f>SUM(N3:N10)</f>
        <v>14673000</v>
      </c>
      <c r="Q11" s="70">
        <f>SUM(Q3:Q10)</f>
        <v>31000000</v>
      </c>
    </row>
    <row r="12" spans="1:25" ht="24" customHeight="1" x14ac:dyDescent="0.35">
      <c r="J12" s="63"/>
      <c r="L12" s="63"/>
      <c r="M12" s="68"/>
      <c r="N12" s="63"/>
      <c r="Q12" s="63"/>
    </row>
    <row r="13" spans="1:25" ht="24" customHeight="1" x14ac:dyDescent="0.35">
      <c r="B13" s="1" t="s">
        <v>4</v>
      </c>
      <c r="C13" s="1" t="s">
        <v>38</v>
      </c>
      <c r="D13" s="2" t="s">
        <v>5</v>
      </c>
      <c r="E13" s="2" t="s">
        <v>6</v>
      </c>
      <c r="F13" s="3" t="s">
        <v>7</v>
      </c>
      <c r="G13" s="2" t="s">
        <v>8</v>
      </c>
      <c r="H13" s="2" t="s">
        <v>9</v>
      </c>
      <c r="J13" s="2" t="s">
        <v>10</v>
      </c>
      <c r="L13" s="2" t="s">
        <v>10</v>
      </c>
      <c r="M13" s="53"/>
      <c r="N13" s="2" t="s">
        <v>130</v>
      </c>
      <c r="Q13" s="2" t="s">
        <v>149</v>
      </c>
      <c r="S13" s="2" t="s">
        <v>219</v>
      </c>
    </row>
    <row r="14" spans="1:25" ht="60" customHeight="1" x14ac:dyDescent="0.35">
      <c r="A14" s="131" t="s">
        <v>34</v>
      </c>
      <c r="B14" s="64" t="s">
        <v>11</v>
      </c>
      <c r="C14" s="64" t="s">
        <v>37</v>
      </c>
      <c r="D14" s="72">
        <v>2100000</v>
      </c>
      <c r="E14" s="72">
        <f>1500000+400000</f>
        <v>1900000</v>
      </c>
      <c r="F14" s="72">
        <f t="shared" ref="F14:F19" si="0">D14-E14</f>
        <v>200000</v>
      </c>
      <c r="G14" s="72">
        <v>3686000</v>
      </c>
      <c r="H14" s="72">
        <f>3286000-1000000</f>
        <v>2286000</v>
      </c>
      <c r="J14" s="73"/>
      <c r="L14" s="73">
        <v>200000</v>
      </c>
      <c r="M14" s="74"/>
      <c r="N14" s="73">
        <f>+L14</f>
        <v>200000</v>
      </c>
      <c r="O14" s="64" t="s">
        <v>147</v>
      </c>
      <c r="Q14" s="73">
        <v>2500000</v>
      </c>
      <c r="R14" s="142" t="s">
        <v>214</v>
      </c>
      <c r="S14" s="184" t="s">
        <v>252</v>
      </c>
    </row>
    <row r="15" spans="1:25" ht="24" customHeight="1" x14ac:dyDescent="0.35">
      <c r="A15" s="64" t="s">
        <v>35</v>
      </c>
      <c r="B15" s="64" t="s">
        <v>12</v>
      </c>
      <c r="C15" s="64" t="s">
        <v>37</v>
      </c>
      <c r="D15" s="72">
        <f>1537432-314527</f>
        <v>1222905</v>
      </c>
      <c r="E15" s="72">
        <v>0</v>
      </c>
      <c r="F15" s="72">
        <f t="shared" si="0"/>
        <v>1222905</v>
      </c>
      <c r="G15" s="72">
        <v>314527.12</v>
      </c>
      <c r="H15" s="72">
        <v>0</v>
      </c>
      <c r="J15" s="73"/>
      <c r="L15" s="73">
        <f>+F15</f>
        <v>1222905</v>
      </c>
      <c r="M15" s="74"/>
      <c r="N15" s="73"/>
      <c r="Q15" s="73"/>
      <c r="Y15" s="64" t="s">
        <v>32</v>
      </c>
    </row>
    <row r="16" spans="1:25" ht="24" customHeight="1" x14ac:dyDescent="0.35">
      <c r="B16" s="64" t="s">
        <v>13</v>
      </c>
      <c r="C16" s="64" t="s">
        <v>37</v>
      </c>
      <c r="D16" s="72">
        <f>18600941+1677500-8600000</f>
        <v>11678441</v>
      </c>
      <c r="E16" s="72"/>
      <c r="F16" s="72">
        <f t="shared" si="0"/>
        <v>11678441</v>
      </c>
      <c r="G16" s="72">
        <v>8600000</v>
      </c>
      <c r="H16" s="72">
        <v>20278441</v>
      </c>
      <c r="L16" s="73">
        <v>0</v>
      </c>
      <c r="M16" s="74"/>
      <c r="N16" s="73"/>
      <c r="Q16" s="73"/>
      <c r="R16" s="64" t="s">
        <v>212</v>
      </c>
    </row>
    <row r="17" spans="1:25" ht="24" customHeight="1" x14ac:dyDescent="0.35">
      <c r="A17" s="64" t="s">
        <v>34</v>
      </c>
      <c r="B17" s="64" t="s">
        <v>14</v>
      </c>
      <c r="C17" s="64" t="s">
        <v>37</v>
      </c>
      <c r="D17" s="72">
        <f>2230000*2</f>
        <v>4460000</v>
      </c>
      <c r="E17" s="72">
        <v>2230000</v>
      </c>
      <c r="F17" s="72">
        <f t="shared" si="0"/>
        <v>2230000</v>
      </c>
      <c r="G17" s="72">
        <v>2230000</v>
      </c>
      <c r="H17" s="72">
        <f>6690000-2230000</f>
        <v>4460000</v>
      </c>
      <c r="L17" s="72">
        <v>2230000</v>
      </c>
      <c r="M17" s="68"/>
      <c r="N17" s="72"/>
      <c r="Q17" s="72">
        <v>4208000</v>
      </c>
      <c r="R17" s="143" t="s">
        <v>216</v>
      </c>
      <c r="S17" s="141"/>
      <c r="T17" s="141"/>
      <c r="Y17" s="64" t="s">
        <v>33</v>
      </c>
    </row>
    <row r="18" spans="1:25" ht="24" customHeight="1" x14ac:dyDescent="0.35">
      <c r="A18" s="64" t="s">
        <v>131</v>
      </c>
      <c r="B18" s="64" t="s">
        <v>63</v>
      </c>
      <c r="C18" s="64" t="s">
        <v>37</v>
      </c>
      <c r="D18" s="72"/>
      <c r="E18" s="72"/>
      <c r="F18" s="72"/>
      <c r="G18" s="72"/>
      <c r="H18" s="72">
        <v>12600000</v>
      </c>
      <c r="K18" s="72"/>
      <c r="L18" s="72"/>
      <c r="M18" s="68"/>
      <c r="N18" s="72"/>
      <c r="Q18" s="72"/>
      <c r="R18" s="64" t="s">
        <v>209</v>
      </c>
    </row>
    <row r="19" spans="1:25" ht="24" customHeight="1" x14ac:dyDescent="0.35">
      <c r="B19" s="64" t="s">
        <v>15</v>
      </c>
      <c r="C19" s="64" t="s">
        <v>37</v>
      </c>
      <c r="D19" s="72">
        <v>99087791</v>
      </c>
      <c r="E19" s="72">
        <v>1200000</v>
      </c>
      <c r="F19" s="72">
        <f t="shared" si="0"/>
        <v>97887791</v>
      </c>
      <c r="G19" s="72"/>
      <c r="H19" s="72">
        <f>+'[1]الاهلى للتاجير التمويل'!$S$8+'[1]الاهلى للتاجير التمويل'!$T$8+'[1]الاهلى للتاجير التمويل'!$U$8+'[1]الاهلى للتاجير التمويل'!$S$27+'[1]الاهلى للتاجير التمويل'!$U$27</f>
        <v>76229769.484999999</v>
      </c>
      <c r="L19" s="72">
        <v>0</v>
      </c>
      <c r="M19" s="68"/>
      <c r="N19" s="72"/>
      <c r="Q19" s="72"/>
      <c r="R19" s="144" t="s">
        <v>213</v>
      </c>
      <c r="T19" s="141"/>
    </row>
    <row r="20" spans="1:25" ht="24" customHeight="1" x14ac:dyDescent="0.35">
      <c r="B20" s="64" t="s">
        <v>65</v>
      </c>
      <c r="C20" s="64" t="s">
        <v>37</v>
      </c>
      <c r="D20" s="72"/>
      <c r="E20" s="72"/>
      <c r="F20" s="72"/>
      <c r="G20" s="72"/>
      <c r="H20" s="72">
        <v>78541653.789999992</v>
      </c>
      <c r="L20" s="72"/>
      <c r="M20" s="68"/>
      <c r="N20" s="72"/>
      <c r="Q20" s="72"/>
    </row>
    <row r="21" spans="1:25" s="76" customFormat="1" ht="24" customHeight="1" x14ac:dyDescent="0.35">
      <c r="B21" s="76" t="s">
        <v>68</v>
      </c>
      <c r="C21" s="76" t="s">
        <v>37</v>
      </c>
      <c r="D21" s="75"/>
      <c r="E21" s="75"/>
      <c r="F21" s="75"/>
      <c r="G21" s="75"/>
      <c r="H21" s="75"/>
      <c r="L21" s="75"/>
      <c r="M21" s="68"/>
      <c r="N21" s="75"/>
      <c r="O21" s="64"/>
      <c r="P21" s="64"/>
      <c r="Q21" s="72"/>
      <c r="R21" s="64"/>
      <c r="Y21" s="141" t="s">
        <v>145</v>
      </c>
    </row>
    <row r="22" spans="1:25" s="76" customFormat="1" ht="24" customHeight="1" x14ac:dyDescent="0.35">
      <c r="B22" s="76" t="s">
        <v>167</v>
      </c>
      <c r="C22" s="76" t="s">
        <v>37</v>
      </c>
      <c r="D22" s="75"/>
      <c r="E22" s="75"/>
      <c r="F22" s="75"/>
      <c r="G22" s="75"/>
      <c r="H22" s="75"/>
      <c r="L22" s="75"/>
      <c r="M22" s="68"/>
      <c r="N22" s="75"/>
      <c r="O22" s="64"/>
      <c r="P22" s="64"/>
      <c r="Q22" s="72"/>
      <c r="R22" s="64"/>
      <c r="Y22" s="141"/>
    </row>
    <row r="23" spans="1:25" s="76" customFormat="1" ht="24" customHeight="1" x14ac:dyDescent="0.35">
      <c r="B23" s="77" t="s">
        <v>165</v>
      </c>
      <c r="C23" s="77" t="s">
        <v>37</v>
      </c>
      <c r="D23" s="69"/>
      <c r="E23" s="69"/>
      <c r="F23" s="69"/>
      <c r="G23" s="69"/>
      <c r="H23" s="69">
        <v>44400000</v>
      </c>
      <c r="L23" s="75"/>
      <c r="M23" s="68"/>
      <c r="N23" s="75"/>
      <c r="O23" s="64"/>
      <c r="P23" s="64"/>
      <c r="Q23" s="72"/>
      <c r="R23" s="145" t="s">
        <v>210</v>
      </c>
      <c r="S23" s="146"/>
      <c r="T23" s="146"/>
      <c r="Y23" s="141"/>
    </row>
    <row r="24" spans="1:25" ht="24" customHeight="1" x14ac:dyDescent="0.35">
      <c r="B24" s="77" t="s">
        <v>166</v>
      </c>
      <c r="C24" s="77" t="s">
        <v>37</v>
      </c>
      <c r="D24" s="69">
        <f>928681+1548095</f>
        <v>2476776</v>
      </c>
      <c r="E24" s="69"/>
      <c r="F24" s="69">
        <f t="shared" ref="F24:F55" si="1">D24-E24</f>
        <v>2476776</v>
      </c>
      <c r="G24" s="69"/>
      <c r="H24" s="69">
        <v>13906000</v>
      </c>
      <c r="J24" s="73"/>
      <c r="L24" s="73">
        <f>+H24</f>
        <v>13906000</v>
      </c>
      <c r="M24" s="74"/>
      <c r="N24" s="73">
        <v>2476776</v>
      </c>
      <c r="O24" s="64" t="s">
        <v>147</v>
      </c>
      <c r="Q24" s="72"/>
      <c r="R24" s="147" t="s">
        <v>215</v>
      </c>
      <c r="S24" s="146"/>
      <c r="T24" s="146"/>
    </row>
    <row r="25" spans="1:25" ht="27.65" customHeight="1" x14ac:dyDescent="0.35">
      <c r="B25" s="135" t="s">
        <v>221</v>
      </c>
      <c r="C25" s="135" t="s">
        <v>37</v>
      </c>
      <c r="D25" s="136"/>
      <c r="E25" s="136"/>
      <c r="F25" s="136"/>
      <c r="G25" s="136"/>
      <c r="H25" s="136">
        <f>50000000-20000000</f>
        <v>30000000</v>
      </c>
      <c r="I25" s="135"/>
      <c r="J25" s="137"/>
      <c r="K25" s="135"/>
      <c r="L25" s="137"/>
      <c r="M25" s="138"/>
      <c r="N25" s="137"/>
      <c r="O25" s="135"/>
      <c r="P25" s="135"/>
      <c r="Q25" s="136"/>
      <c r="R25" s="148" t="s">
        <v>257</v>
      </c>
      <c r="S25" s="146"/>
      <c r="T25" s="146"/>
      <c r="U25" s="64" t="s">
        <v>245</v>
      </c>
    </row>
    <row r="26" spans="1:25" ht="33.65" customHeight="1" x14ac:dyDescent="0.35">
      <c r="B26" s="135" t="s">
        <v>261</v>
      </c>
      <c r="C26" s="135" t="s">
        <v>37</v>
      </c>
      <c r="D26" s="136"/>
      <c r="E26" s="136"/>
      <c r="F26" s="136"/>
      <c r="G26" s="136"/>
      <c r="H26" s="136">
        <f>+'شرائح المرتبات 11 (الصيادلة)'!D13</f>
        <v>24063201</v>
      </c>
      <c r="I26" s="135"/>
      <c r="J26" s="137"/>
      <c r="K26" s="135"/>
      <c r="L26" s="136"/>
      <c r="M26" s="139"/>
      <c r="N26" s="136"/>
      <c r="O26" s="135"/>
      <c r="P26" s="135"/>
      <c r="Q26" s="136">
        <f>+'شرائح المرتبات 11 (الصيادلة)'!D6+'شرائح المرتبات 11 (الصيادلة)'!D7</f>
        <v>3989495</v>
      </c>
      <c r="R26" s="149"/>
      <c r="S26" s="72"/>
      <c r="T26" s="76">
        <f>+'شرائح المرتبات 11 (الصيادلة)'!F19</f>
        <v>2636677</v>
      </c>
      <c r="U26" s="64" t="s">
        <v>245</v>
      </c>
      <c r="W26" s="73"/>
    </row>
    <row r="27" spans="1:25" ht="24" customHeight="1" x14ac:dyDescent="0.35">
      <c r="B27" s="135" t="s">
        <v>217</v>
      </c>
      <c r="C27" s="135" t="s">
        <v>37</v>
      </c>
      <c r="D27" s="136"/>
      <c r="E27" s="136"/>
      <c r="F27" s="136"/>
      <c r="G27" s="136"/>
      <c r="H27" s="136">
        <v>2000000</v>
      </c>
      <c r="I27" s="135"/>
      <c r="J27" s="137"/>
      <c r="K27" s="135"/>
      <c r="L27" s="136">
        <v>200000</v>
      </c>
      <c r="M27" s="139"/>
      <c r="N27" s="136">
        <v>0</v>
      </c>
      <c r="O27" s="135"/>
      <c r="P27" s="135"/>
      <c r="Q27" s="136"/>
      <c r="R27" s="135"/>
    </row>
    <row r="28" spans="1:25" ht="24" customHeight="1" x14ac:dyDescent="0.35">
      <c r="B28" s="135" t="s">
        <v>218</v>
      </c>
      <c r="C28" s="135" t="s">
        <v>37</v>
      </c>
      <c r="D28" s="136"/>
      <c r="E28" s="136"/>
      <c r="F28" s="136"/>
      <c r="G28" s="136"/>
      <c r="H28" s="136">
        <v>7934867</v>
      </c>
      <c r="I28" s="135"/>
      <c r="J28" s="137"/>
      <c r="K28" s="135"/>
      <c r="L28" s="136">
        <v>500000</v>
      </c>
      <c r="M28" s="139"/>
      <c r="N28" s="136">
        <v>250000</v>
      </c>
      <c r="O28" s="135" t="s">
        <v>147</v>
      </c>
      <c r="P28" s="135"/>
      <c r="Q28" s="136"/>
      <c r="R28" s="135"/>
      <c r="T28" s="76" t="s">
        <v>245</v>
      </c>
    </row>
    <row r="29" spans="1:25" ht="24" customHeight="1" x14ac:dyDescent="0.35">
      <c r="B29" s="135" t="s">
        <v>16</v>
      </c>
      <c r="C29" s="135" t="s">
        <v>37</v>
      </c>
      <c r="D29" s="136">
        <v>200000</v>
      </c>
      <c r="E29" s="136"/>
      <c r="F29" s="136">
        <f t="shared" si="1"/>
        <v>200000</v>
      </c>
      <c r="G29" s="136"/>
      <c r="H29" s="136">
        <v>300000</v>
      </c>
      <c r="I29" s="135"/>
      <c r="J29" s="137"/>
      <c r="K29" s="135"/>
      <c r="L29" s="136">
        <v>250000</v>
      </c>
      <c r="M29" s="139"/>
      <c r="N29" s="136">
        <v>250000</v>
      </c>
      <c r="O29" s="135" t="s">
        <v>147</v>
      </c>
      <c r="P29" s="135"/>
      <c r="Q29" s="136">
        <v>235000</v>
      </c>
      <c r="R29" s="136"/>
      <c r="T29" s="76" t="s">
        <v>245</v>
      </c>
      <c r="Y29" s="64" t="s">
        <v>28</v>
      </c>
    </row>
    <row r="30" spans="1:25" ht="24" customHeight="1" x14ac:dyDescent="0.35">
      <c r="A30" s="64" t="s">
        <v>17</v>
      </c>
      <c r="B30" s="135" t="s">
        <v>18</v>
      </c>
      <c r="C30" s="135" t="s">
        <v>37</v>
      </c>
      <c r="D30" s="136">
        <v>5000000</v>
      </c>
      <c r="E30" s="136"/>
      <c r="F30" s="136">
        <f t="shared" si="1"/>
        <v>5000000</v>
      </c>
      <c r="G30" s="136">
        <v>5000000</v>
      </c>
      <c r="H30" s="136">
        <v>6000000</v>
      </c>
      <c r="I30" s="135"/>
      <c r="J30" s="135"/>
      <c r="K30" s="135"/>
      <c r="L30" s="136">
        <v>0</v>
      </c>
      <c r="M30" s="139"/>
      <c r="N30" s="136">
        <v>2000000</v>
      </c>
      <c r="O30" s="135" t="s">
        <v>147</v>
      </c>
      <c r="P30" s="135"/>
      <c r="Q30" s="136">
        <v>2000000</v>
      </c>
      <c r="R30" s="136"/>
      <c r="S30" s="72"/>
      <c r="Y30" s="77" t="s">
        <v>144</v>
      </c>
    </row>
    <row r="31" spans="1:25" ht="24" customHeight="1" x14ac:dyDescent="0.35">
      <c r="B31" s="135" t="s">
        <v>174</v>
      </c>
      <c r="C31" s="135" t="s">
        <v>37</v>
      </c>
      <c r="D31" s="136"/>
      <c r="E31" s="136"/>
      <c r="F31" s="136"/>
      <c r="G31" s="136"/>
      <c r="H31" s="136">
        <v>500000</v>
      </c>
      <c r="I31" s="135"/>
      <c r="J31" s="135"/>
      <c r="K31" s="135"/>
      <c r="L31" s="136"/>
      <c r="M31" s="139"/>
      <c r="N31" s="136"/>
      <c r="O31" s="135"/>
      <c r="P31" s="135"/>
      <c r="Q31" s="136"/>
      <c r="R31" s="150" t="s">
        <v>255</v>
      </c>
      <c r="Y31" s="77"/>
    </row>
    <row r="32" spans="1:25" ht="24" hidden="1" customHeight="1" x14ac:dyDescent="0.35">
      <c r="B32" s="76" t="s">
        <v>175</v>
      </c>
      <c r="C32" s="76" t="s">
        <v>37</v>
      </c>
      <c r="D32" s="75"/>
      <c r="E32" s="75"/>
      <c r="F32" s="75"/>
      <c r="G32" s="75"/>
      <c r="H32" s="75"/>
      <c r="I32" s="76"/>
      <c r="J32" s="76"/>
      <c r="K32" s="76"/>
      <c r="L32" s="75"/>
      <c r="M32" s="68"/>
      <c r="N32" s="75"/>
      <c r="O32" s="76"/>
      <c r="P32" s="76"/>
      <c r="Q32" s="75"/>
      <c r="R32" s="76"/>
      <c r="U32" s="64" t="s">
        <v>176</v>
      </c>
      <c r="V32" s="64" t="s">
        <v>177</v>
      </c>
      <c r="Y32" s="77"/>
    </row>
    <row r="33" spans="1:25" ht="24" customHeight="1" x14ac:dyDescent="0.35">
      <c r="B33" s="135" t="s">
        <v>222</v>
      </c>
      <c r="C33" s="135" t="s">
        <v>37</v>
      </c>
      <c r="D33" s="136"/>
      <c r="E33" s="136"/>
      <c r="F33" s="136"/>
      <c r="G33" s="136"/>
      <c r="H33" s="136">
        <f>8500000-1000000</f>
        <v>7500000</v>
      </c>
      <c r="I33" s="135"/>
      <c r="J33" s="135"/>
      <c r="K33" s="135"/>
      <c r="L33" s="136"/>
      <c r="M33" s="139"/>
      <c r="N33" s="136"/>
      <c r="O33" s="135"/>
      <c r="P33" s="135"/>
      <c r="Q33" s="136">
        <v>2630000</v>
      </c>
      <c r="R33" s="135"/>
      <c r="Y33" s="77"/>
    </row>
    <row r="34" spans="1:25" ht="24" customHeight="1" x14ac:dyDescent="0.35">
      <c r="B34" s="64" t="s">
        <v>162</v>
      </c>
      <c r="C34" s="64" t="s">
        <v>37</v>
      </c>
      <c r="D34" s="72">
        <v>690000</v>
      </c>
      <c r="E34" s="72"/>
      <c r="F34" s="72">
        <f t="shared" ref="F34" si="2">D34-E34</f>
        <v>690000</v>
      </c>
      <c r="G34" s="72"/>
      <c r="H34" s="72">
        <v>518727</v>
      </c>
      <c r="L34" s="72">
        <v>90000</v>
      </c>
      <c r="M34" s="68"/>
      <c r="N34" s="72"/>
      <c r="Q34" s="75"/>
      <c r="R34" s="76"/>
      <c r="S34" s="64"/>
      <c r="U34" s="64">
        <f>216629+114989</f>
        <v>331618</v>
      </c>
      <c r="V34" s="64">
        <v>216629</v>
      </c>
      <c r="Y34" s="77"/>
    </row>
    <row r="35" spans="1:25" ht="24" customHeight="1" x14ac:dyDescent="0.35">
      <c r="B35" s="64" t="s">
        <v>170</v>
      </c>
      <c r="C35" s="64" t="s">
        <v>37</v>
      </c>
      <c r="D35" s="72"/>
      <c r="E35" s="72"/>
      <c r="F35" s="72"/>
      <c r="G35" s="72"/>
      <c r="H35" s="72">
        <v>369233</v>
      </c>
      <c r="L35" s="72"/>
      <c r="M35" s="68"/>
      <c r="N35" s="75"/>
      <c r="Q35" s="75"/>
      <c r="S35" s="64"/>
      <c r="V35" s="64">
        <f>+V34+U34</f>
        <v>548247</v>
      </c>
      <c r="Y35" s="77"/>
    </row>
    <row r="36" spans="1:25" ht="24" customHeight="1" x14ac:dyDescent="0.35">
      <c r="B36" s="64" t="s">
        <v>171</v>
      </c>
      <c r="C36" s="64" t="s">
        <v>37</v>
      </c>
      <c r="D36" s="72"/>
      <c r="E36" s="72"/>
      <c r="F36" s="72"/>
      <c r="G36" s="72"/>
      <c r="H36" s="72">
        <v>228108</v>
      </c>
      <c r="L36" s="72"/>
      <c r="M36" s="68"/>
      <c r="N36" s="75"/>
      <c r="Q36" s="75"/>
      <c r="R36" s="68"/>
      <c r="S36" s="64"/>
      <c r="T36" s="151"/>
      <c r="Y36" s="77"/>
    </row>
    <row r="37" spans="1:25" ht="24" customHeight="1" x14ac:dyDescent="0.35">
      <c r="B37" s="64" t="s">
        <v>172</v>
      </c>
      <c r="C37" s="64" t="s">
        <v>37</v>
      </c>
      <c r="D37" s="72"/>
      <c r="E37" s="72"/>
      <c r="F37" s="72"/>
      <c r="G37" s="72"/>
      <c r="H37" s="72">
        <v>158817</v>
      </c>
      <c r="L37" s="72"/>
      <c r="M37" s="68"/>
      <c r="N37" s="75"/>
      <c r="Q37" s="75">
        <v>79408.5</v>
      </c>
      <c r="S37" s="64">
        <v>54460</v>
      </c>
      <c r="Y37" s="77"/>
    </row>
    <row r="38" spans="1:25" ht="24" customHeight="1" x14ac:dyDescent="0.35">
      <c r="B38" s="64" t="s">
        <v>173</v>
      </c>
      <c r="C38" s="64" t="s">
        <v>37</v>
      </c>
      <c r="D38" s="72"/>
      <c r="E38" s="72"/>
      <c r="F38" s="72"/>
      <c r="G38" s="72"/>
      <c r="H38" s="72">
        <v>55527.906308456448</v>
      </c>
      <c r="L38" s="72"/>
      <c r="M38" s="68"/>
      <c r="N38" s="75"/>
      <c r="Q38" s="75"/>
      <c r="S38" s="64">
        <v>19000</v>
      </c>
      <c r="Y38" s="77"/>
    </row>
    <row r="39" spans="1:25" ht="24" customHeight="1" x14ac:dyDescent="0.35">
      <c r="B39" s="64" t="s">
        <v>260</v>
      </c>
      <c r="C39" s="64" t="s">
        <v>37</v>
      </c>
      <c r="D39" s="72"/>
      <c r="E39" s="72"/>
      <c r="F39" s="72"/>
      <c r="G39" s="72"/>
      <c r="H39" s="72"/>
      <c r="L39" s="72"/>
      <c r="M39" s="68"/>
      <c r="N39" s="75"/>
      <c r="Q39" s="75" t="s">
        <v>265</v>
      </c>
      <c r="S39" s="64"/>
      <c r="Y39" s="77"/>
    </row>
    <row r="40" spans="1:25" ht="24" customHeight="1" x14ac:dyDescent="0.35">
      <c r="B40" s="64" t="s">
        <v>180</v>
      </c>
      <c r="C40" s="64" t="s">
        <v>37</v>
      </c>
      <c r="D40" s="72"/>
      <c r="E40" s="72"/>
      <c r="F40" s="72"/>
      <c r="G40" s="72"/>
      <c r="H40" s="72">
        <f>21962*4</f>
        <v>87848</v>
      </c>
      <c r="L40" s="72"/>
      <c r="M40" s="68"/>
      <c r="N40" s="75"/>
      <c r="Q40" s="75"/>
      <c r="S40" s="64">
        <v>3000</v>
      </c>
      <c r="Y40" s="77"/>
    </row>
    <row r="41" spans="1:25" ht="24" customHeight="1" x14ac:dyDescent="0.35">
      <c r="B41" s="64" t="s">
        <v>207</v>
      </c>
      <c r="C41" s="64" t="s">
        <v>37</v>
      </c>
      <c r="D41" s="72"/>
      <c r="E41" s="72"/>
      <c r="F41" s="72"/>
      <c r="G41" s="72"/>
      <c r="H41" s="72">
        <v>96000</v>
      </c>
      <c r="L41" s="72"/>
      <c r="M41" s="68"/>
      <c r="N41" s="75"/>
      <c r="Q41" s="75"/>
      <c r="S41" s="64">
        <v>15000</v>
      </c>
      <c r="Y41" s="77"/>
    </row>
    <row r="42" spans="1:25" ht="24" customHeight="1" x14ac:dyDescent="0.35">
      <c r="B42" s="64" t="s">
        <v>208</v>
      </c>
      <c r="C42" s="64" t="s">
        <v>37</v>
      </c>
      <c r="D42" s="72"/>
      <c r="E42" s="72"/>
      <c r="F42" s="72"/>
      <c r="G42" s="72"/>
      <c r="H42" s="72">
        <v>120000</v>
      </c>
      <c r="L42" s="72"/>
      <c r="M42" s="68"/>
      <c r="N42" s="75"/>
      <c r="Q42" s="75">
        <v>120000</v>
      </c>
      <c r="S42" s="64">
        <v>359000</v>
      </c>
      <c r="Y42" s="77"/>
    </row>
    <row r="43" spans="1:25" ht="24" customHeight="1" x14ac:dyDescent="0.35">
      <c r="A43" s="64" t="s">
        <v>26</v>
      </c>
      <c r="B43" s="64" t="s">
        <v>25</v>
      </c>
      <c r="C43" s="64" t="s">
        <v>37</v>
      </c>
      <c r="D43" s="72">
        <f>55000*5</f>
        <v>275000</v>
      </c>
      <c r="E43" s="72"/>
      <c r="F43" s="72">
        <f t="shared" si="1"/>
        <v>275000</v>
      </c>
      <c r="G43" s="72"/>
      <c r="H43" s="72">
        <f>296643-87000</f>
        <v>209643</v>
      </c>
      <c r="L43" s="72">
        <v>110000</v>
      </c>
      <c r="M43" s="68" t="s">
        <v>158</v>
      </c>
      <c r="N43" s="72"/>
      <c r="Q43" s="75"/>
      <c r="S43" s="76">
        <f>SUM(S37:S42)</f>
        <v>450460</v>
      </c>
      <c r="W43" s="72">
        <v>110000</v>
      </c>
    </row>
    <row r="44" spans="1:25" ht="24" customHeight="1" x14ac:dyDescent="0.35">
      <c r="B44" s="64" t="s">
        <v>121</v>
      </c>
      <c r="C44" s="64" t="s">
        <v>37</v>
      </c>
      <c r="D44" s="72">
        <f>56000*2</f>
        <v>112000</v>
      </c>
      <c r="E44" s="72"/>
      <c r="F44" s="72">
        <f t="shared" si="1"/>
        <v>112000</v>
      </c>
      <c r="G44" s="72"/>
      <c r="H44" s="72">
        <f>170100-56700</f>
        <v>113400</v>
      </c>
      <c r="L44" s="72">
        <v>56000</v>
      </c>
      <c r="M44" s="68"/>
      <c r="N44" s="72"/>
      <c r="Q44" s="75"/>
      <c r="W44" s="72">
        <v>56000</v>
      </c>
      <c r="Y44" s="64" t="s">
        <v>29</v>
      </c>
    </row>
    <row r="45" spans="1:25" ht="24" customHeight="1" x14ac:dyDescent="0.35">
      <c r="B45" s="135" t="s">
        <v>19</v>
      </c>
      <c r="C45" s="135" t="s">
        <v>37</v>
      </c>
      <c r="D45" s="136">
        <v>508000</v>
      </c>
      <c r="E45" s="136">
        <v>350000</v>
      </c>
      <c r="F45" s="136">
        <f t="shared" si="1"/>
        <v>158000</v>
      </c>
      <c r="G45" s="136"/>
      <c r="H45" s="136">
        <v>0</v>
      </c>
      <c r="I45" s="135"/>
      <c r="J45" s="137"/>
      <c r="K45" s="135"/>
      <c r="L45" s="136">
        <f>+H45</f>
        <v>0</v>
      </c>
      <c r="M45" s="139"/>
      <c r="N45" s="136">
        <v>158000</v>
      </c>
      <c r="O45" s="135" t="s">
        <v>147</v>
      </c>
      <c r="P45" s="135"/>
      <c r="Q45" s="136">
        <f>290000+4000</f>
        <v>294000</v>
      </c>
      <c r="R45" s="135" t="s">
        <v>259</v>
      </c>
    </row>
    <row r="46" spans="1:25" ht="24" customHeight="1" x14ac:dyDescent="0.35">
      <c r="B46" s="135" t="s">
        <v>223</v>
      </c>
      <c r="C46" s="135" t="s">
        <v>37</v>
      </c>
      <c r="D46" s="136"/>
      <c r="E46" s="136"/>
      <c r="F46" s="136"/>
      <c r="G46" s="136"/>
      <c r="H46" s="136">
        <f>4*175000</f>
        <v>700000</v>
      </c>
      <c r="I46" s="135"/>
      <c r="J46" s="137"/>
      <c r="K46" s="135"/>
      <c r="L46" s="136"/>
      <c r="M46" s="139"/>
      <c r="N46" s="136"/>
      <c r="O46" s="135"/>
      <c r="P46" s="135"/>
      <c r="Q46" s="136">
        <v>200000</v>
      </c>
      <c r="R46" s="135"/>
      <c r="T46" s="136">
        <v>150000</v>
      </c>
    </row>
    <row r="47" spans="1:25" ht="24" customHeight="1" x14ac:dyDescent="0.35">
      <c r="B47" s="135" t="s">
        <v>224</v>
      </c>
      <c r="C47" s="135" t="s">
        <v>37</v>
      </c>
      <c r="D47" s="136"/>
      <c r="E47" s="136"/>
      <c r="F47" s="136"/>
      <c r="G47" s="136"/>
      <c r="H47" s="136">
        <v>2291000</v>
      </c>
      <c r="I47" s="135"/>
      <c r="J47" s="137"/>
      <c r="K47" s="135"/>
      <c r="L47" s="136"/>
      <c r="M47" s="139"/>
      <c r="N47" s="136"/>
      <c r="O47" s="135"/>
      <c r="P47" s="135"/>
      <c r="Q47" s="136"/>
      <c r="R47" s="135"/>
    </row>
    <row r="48" spans="1:25" ht="28" customHeight="1" x14ac:dyDescent="0.35">
      <c r="B48" s="135" t="s">
        <v>225</v>
      </c>
      <c r="C48" s="135" t="s">
        <v>37</v>
      </c>
      <c r="D48" s="136"/>
      <c r="E48" s="136"/>
      <c r="F48" s="136"/>
      <c r="G48" s="136"/>
      <c r="H48" s="136">
        <v>0</v>
      </c>
      <c r="I48" s="135"/>
      <c r="J48" s="137"/>
      <c r="K48" s="135"/>
      <c r="L48" s="136"/>
      <c r="M48" s="139"/>
      <c r="N48" s="136"/>
      <c r="O48" s="135"/>
      <c r="P48" s="135"/>
      <c r="Q48" s="69">
        <f>1250000-400000</f>
        <v>850000</v>
      </c>
      <c r="R48" s="150"/>
    </row>
    <row r="49" spans="2:25" ht="24" customHeight="1" x14ac:dyDescent="0.35">
      <c r="B49" s="64" t="s">
        <v>30</v>
      </c>
      <c r="C49" s="64" t="s">
        <v>37</v>
      </c>
      <c r="D49" s="72">
        <v>180000</v>
      </c>
      <c r="E49" s="72"/>
      <c r="F49" s="72">
        <f t="shared" si="1"/>
        <v>180000</v>
      </c>
      <c r="G49" s="72"/>
      <c r="H49" s="72">
        <v>100000</v>
      </c>
      <c r="L49" s="72">
        <v>0</v>
      </c>
      <c r="M49" s="68"/>
      <c r="N49" s="72"/>
      <c r="Q49" s="72"/>
      <c r="T49" s="76" t="s">
        <v>246</v>
      </c>
      <c r="U49" s="136">
        <f>35000*2</f>
        <v>70000</v>
      </c>
      <c r="V49" s="64" t="s">
        <v>247</v>
      </c>
    </row>
    <row r="50" spans="2:25" ht="24" customHeight="1" x14ac:dyDescent="0.35">
      <c r="B50" s="64" t="s">
        <v>31</v>
      </c>
      <c r="C50" s="64" t="s">
        <v>37</v>
      </c>
      <c r="D50" s="72"/>
      <c r="E50" s="72"/>
      <c r="F50" s="72"/>
      <c r="G50" s="72">
        <v>300000</v>
      </c>
      <c r="H50" s="72">
        <v>357000</v>
      </c>
      <c r="L50" s="72">
        <f>+H50</f>
        <v>357000</v>
      </c>
      <c r="M50" s="68"/>
      <c r="N50" s="69">
        <v>300000</v>
      </c>
      <c r="O50" s="77" t="s">
        <v>148</v>
      </c>
      <c r="Q50" s="72"/>
      <c r="T50" s="76" t="s">
        <v>248</v>
      </c>
      <c r="U50" s="136">
        <v>50000</v>
      </c>
      <c r="V50" s="64" t="s">
        <v>247</v>
      </c>
    </row>
    <row r="51" spans="2:25" ht="24" customHeight="1" x14ac:dyDescent="0.35">
      <c r="B51" s="64" t="s">
        <v>20</v>
      </c>
      <c r="C51" s="64" t="s">
        <v>37</v>
      </c>
      <c r="D51" s="72">
        <v>2000000</v>
      </c>
      <c r="E51" s="72"/>
      <c r="F51" s="72">
        <f t="shared" si="1"/>
        <v>2000000</v>
      </c>
      <c r="G51" s="72">
        <v>2000000</v>
      </c>
      <c r="H51" s="72">
        <f t="shared" ref="H51:H55" si="3">G51+F51</f>
        <v>4000000</v>
      </c>
      <c r="L51" s="72">
        <v>0</v>
      </c>
      <c r="M51" s="68"/>
      <c r="N51" s="72"/>
      <c r="Q51" s="72"/>
      <c r="T51" s="76" t="s">
        <v>249</v>
      </c>
      <c r="V51" s="64" t="s">
        <v>247</v>
      </c>
      <c r="W51" s="64">
        <v>147000</v>
      </c>
    </row>
    <row r="52" spans="2:25" ht="24" customHeight="1" x14ac:dyDescent="0.35">
      <c r="B52" s="64" t="s">
        <v>21</v>
      </c>
      <c r="C52" s="64" t="s">
        <v>37</v>
      </c>
      <c r="D52" s="72">
        <v>640060</v>
      </c>
      <c r="E52" s="72"/>
      <c r="F52" s="72">
        <f t="shared" si="1"/>
        <v>640060</v>
      </c>
      <c r="G52" s="72"/>
      <c r="H52" s="72">
        <f t="shared" si="3"/>
        <v>640060</v>
      </c>
      <c r="L52" s="72">
        <v>0</v>
      </c>
      <c r="M52" s="68"/>
      <c r="N52" s="72"/>
      <c r="Q52" s="72"/>
      <c r="T52" s="76" t="s">
        <v>250</v>
      </c>
    </row>
    <row r="53" spans="2:25" ht="24" customHeight="1" x14ac:dyDescent="0.35">
      <c r="B53" s="64" t="s">
        <v>22</v>
      </c>
      <c r="C53" s="64" t="s">
        <v>37</v>
      </c>
      <c r="D53" s="72">
        <v>880200</v>
      </c>
      <c r="E53" s="72"/>
      <c r="F53" s="72">
        <f t="shared" si="1"/>
        <v>880200</v>
      </c>
      <c r="G53" s="72"/>
      <c r="H53" s="72">
        <f t="shared" si="3"/>
        <v>880200</v>
      </c>
      <c r="L53" s="72">
        <v>0</v>
      </c>
      <c r="M53" s="68"/>
      <c r="N53" s="72"/>
      <c r="Q53" s="72"/>
      <c r="T53" s="76" t="s">
        <v>251</v>
      </c>
    </row>
    <row r="54" spans="2:25" ht="24" customHeight="1" x14ac:dyDescent="0.35">
      <c r="B54" s="64" t="s">
        <v>23</v>
      </c>
      <c r="C54" s="64" t="s">
        <v>37</v>
      </c>
      <c r="D54" s="72">
        <v>100000</v>
      </c>
      <c r="E54" s="72"/>
      <c r="F54" s="72">
        <f t="shared" si="1"/>
        <v>100000</v>
      </c>
      <c r="G54" s="72"/>
      <c r="H54" s="72">
        <f t="shared" si="3"/>
        <v>100000</v>
      </c>
      <c r="L54" s="72">
        <v>0</v>
      </c>
      <c r="M54" s="68"/>
      <c r="N54" s="72"/>
      <c r="Q54" s="72"/>
    </row>
    <row r="55" spans="2:25" ht="24" customHeight="1" x14ac:dyDescent="0.35">
      <c r="B55" s="64" t="s">
        <v>24</v>
      </c>
      <c r="C55" s="64" t="s">
        <v>37</v>
      </c>
      <c r="D55" s="72">
        <v>100000</v>
      </c>
      <c r="E55" s="72"/>
      <c r="F55" s="72">
        <f t="shared" si="1"/>
        <v>100000</v>
      </c>
      <c r="G55" s="72"/>
      <c r="H55" s="72">
        <f t="shared" si="3"/>
        <v>100000</v>
      </c>
      <c r="L55" s="72">
        <v>0</v>
      </c>
      <c r="M55" s="68"/>
      <c r="N55" s="72"/>
      <c r="Q55" s="72"/>
    </row>
    <row r="56" spans="2:25" ht="24" customHeight="1" x14ac:dyDescent="0.35">
      <c r="B56" s="64" t="s">
        <v>122</v>
      </c>
      <c r="C56" s="64" t="s">
        <v>37</v>
      </c>
      <c r="D56" s="72"/>
      <c r="E56" s="72"/>
      <c r="F56" s="72"/>
      <c r="G56" s="72"/>
      <c r="H56" s="72">
        <v>300000</v>
      </c>
      <c r="L56" s="72"/>
      <c r="M56" s="68"/>
      <c r="N56" s="72"/>
      <c r="Q56" s="72"/>
      <c r="Y56" s="64" t="s">
        <v>127</v>
      </c>
    </row>
    <row r="57" spans="2:25" ht="24" customHeight="1" x14ac:dyDescent="0.35">
      <c r="B57" s="64" t="s">
        <v>228</v>
      </c>
      <c r="C57" s="64" t="s">
        <v>37</v>
      </c>
      <c r="D57" s="72"/>
      <c r="E57" s="72"/>
      <c r="F57" s="72"/>
      <c r="G57" s="72"/>
      <c r="H57" s="72">
        <v>70000</v>
      </c>
      <c r="L57" s="72"/>
      <c r="M57" s="68"/>
      <c r="N57" s="72"/>
      <c r="Q57" s="72"/>
    </row>
    <row r="58" spans="2:25" ht="24" customHeight="1" x14ac:dyDescent="0.35">
      <c r="B58" s="90" t="s">
        <v>123</v>
      </c>
      <c r="C58" s="64" t="s">
        <v>37</v>
      </c>
      <c r="D58" s="72"/>
      <c r="E58" s="72"/>
      <c r="F58" s="72"/>
      <c r="G58" s="72"/>
      <c r="H58" s="72">
        <f>460000-375000</f>
        <v>85000</v>
      </c>
      <c r="L58" s="72"/>
      <c r="M58" s="68"/>
      <c r="N58" s="72"/>
      <c r="Q58" s="72"/>
      <c r="Y58" s="64" t="s">
        <v>126</v>
      </c>
    </row>
    <row r="59" spans="2:25" ht="24" customHeight="1" x14ac:dyDescent="0.35">
      <c r="B59" s="90" t="s">
        <v>226</v>
      </c>
      <c r="C59" s="64" t="s">
        <v>37</v>
      </c>
      <c r="D59" s="72"/>
      <c r="E59" s="72"/>
      <c r="F59" s="72"/>
      <c r="G59" s="72"/>
      <c r="H59" s="72">
        <v>300000</v>
      </c>
      <c r="L59" s="72"/>
      <c r="M59" s="68"/>
      <c r="N59" s="72"/>
      <c r="Q59" s="72">
        <f>+H59</f>
        <v>300000</v>
      </c>
      <c r="R59" s="152"/>
    </row>
    <row r="60" spans="2:25" ht="24" customHeight="1" x14ac:dyDescent="0.35">
      <c r="B60" s="64" t="s">
        <v>264</v>
      </c>
      <c r="C60" s="64" t="s">
        <v>37</v>
      </c>
      <c r="D60" s="72"/>
      <c r="E60" s="72"/>
      <c r="F60" s="72"/>
      <c r="G60" s="72"/>
      <c r="H60" s="72">
        <v>370000</v>
      </c>
      <c r="J60" s="64">
        <v>500000</v>
      </c>
      <c r="L60" s="72">
        <v>500000</v>
      </c>
      <c r="M60" s="68"/>
      <c r="N60" s="72">
        <f>+L60</f>
        <v>500000</v>
      </c>
      <c r="O60" s="64" t="s">
        <v>147</v>
      </c>
      <c r="Q60" s="72">
        <f>+H60</f>
        <v>370000</v>
      </c>
      <c r="S60" s="141"/>
      <c r="T60" s="141"/>
      <c r="U60" s="77" t="s">
        <v>37</v>
      </c>
      <c r="Y60" s="64" t="s">
        <v>124</v>
      </c>
    </row>
    <row r="61" spans="2:25" ht="24" customHeight="1" x14ac:dyDescent="0.35">
      <c r="B61" s="64" t="s">
        <v>150</v>
      </c>
      <c r="C61" s="64" t="s">
        <v>37</v>
      </c>
      <c r="D61" s="72"/>
      <c r="E61" s="72"/>
      <c r="F61" s="72"/>
      <c r="G61" s="72"/>
      <c r="H61" s="72">
        <v>875000</v>
      </c>
      <c r="L61" s="72"/>
      <c r="M61" s="68"/>
      <c r="N61" s="72"/>
      <c r="Q61" s="72"/>
      <c r="R61" s="137">
        <f>SUM(Q14:Q61)</f>
        <v>17775903.5</v>
      </c>
      <c r="Y61" s="64" t="s">
        <v>125</v>
      </c>
    </row>
    <row r="62" spans="2:25" ht="24" customHeight="1" x14ac:dyDescent="0.35">
      <c r="B62" s="64" t="s">
        <v>47</v>
      </c>
      <c r="C62" s="79" t="s">
        <v>80</v>
      </c>
      <c r="D62" s="78"/>
      <c r="E62" s="78"/>
      <c r="F62" s="78"/>
      <c r="G62" s="78"/>
      <c r="H62" s="78">
        <f>1213055-N62</f>
        <v>727833</v>
      </c>
      <c r="I62" s="79"/>
      <c r="J62" s="79"/>
      <c r="K62" s="79"/>
      <c r="L62" s="78">
        <v>485222</v>
      </c>
      <c r="M62" s="68"/>
      <c r="N62" s="78">
        <f>+L62</f>
        <v>485222</v>
      </c>
      <c r="O62" s="64" t="s">
        <v>147</v>
      </c>
      <c r="Q62" s="78"/>
    </row>
    <row r="63" spans="2:25" ht="24" customHeight="1" x14ac:dyDescent="0.35">
      <c r="B63" s="64" t="s">
        <v>49</v>
      </c>
      <c r="C63" s="79" t="s">
        <v>80</v>
      </c>
      <c r="D63" s="78"/>
      <c r="E63" s="78"/>
      <c r="F63" s="78"/>
      <c r="G63" s="78"/>
      <c r="H63" s="78">
        <f>290400*4-290400</f>
        <v>871200</v>
      </c>
      <c r="I63" s="79"/>
      <c r="J63" s="79"/>
      <c r="K63" s="79"/>
      <c r="L63" s="78">
        <v>580800</v>
      </c>
      <c r="M63" s="68"/>
      <c r="N63" s="78">
        <f>+L63</f>
        <v>580800</v>
      </c>
      <c r="O63" s="64" t="s">
        <v>147</v>
      </c>
      <c r="Q63" s="78"/>
      <c r="R63" s="73"/>
    </row>
    <row r="64" spans="2:25" ht="24" customHeight="1" x14ac:dyDescent="0.35">
      <c r="B64" s="64" t="s">
        <v>50</v>
      </c>
      <c r="C64" s="79" t="s">
        <v>80</v>
      </c>
      <c r="D64" s="78"/>
      <c r="E64" s="78"/>
      <c r="F64" s="78"/>
      <c r="G64" s="78"/>
      <c r="H64" s="78">
        <v>424612</v>
      </c>
      <c r="I64" s="79"/>
      <c r="J64" s="79"/>
      <c r="K64" s="79"/>
      <c r="L64" s="78">
        <v>424612</v>
      </c>
      <c r="M64" s="68"/>
      <c r="N64" s="78">
        <f>+L64</f>
        <v>424612</v>
      </c>
      <c r="O64" s="64" t="s">
        <v>147</v>
      </c>
      <c r="Q64" s="78"/>
    </row>
    <row r="65" spans="2:21" ht="24" customHeight="1" x14ac:dyDescent="0.35">
      <c r="B65" s="64" t="s">
        <v>52</v>
      </c>
      <c r="C65" s="79" t="s">
        <v>80</v>
      </c>
      <c r="D65" s="78"/>
      <c r="E65" s="78"/>
      <c r="F65" s="78"/>
      <c r="G65" s="78"/>
      <c r="H65" s="78">
        <v>0</v>
      </c>
      <c r="I65" s="79"/>
      <c r="J65" s="79"/>
      <c r="K65" s="79"/>
      <c r="L65" s="78">
        <v>1299600</v>
      </c>
      <c r="M65" s="68"/>
      <c r="N65" s="78">
        <v>0</v>
      </c>
      <c r="Q65" s="78"/>
    </row>
    <row r="66" spans="2:21" ht="24" customHeight="1" x14ac:dyDescent="0.35">
      <c r="B66" s="64" t="s">
        <v>54</v>
      </c>
      <c r="C66" s="79" t="s">
        <v>80</v>
      </c>
      <c r="D66" s="78"/>
      <c r="E66" s="78"/>
      <c r="F66" s="78"/>
      <c r="G66" s="78"/>
      <c r="H66" s="78">
        <v>70057.19</v>
      </c>
      <c r="I66" s="79"/>
      <c r="J66" s="79"/>
      <c r="K66" s="79"/>
      <c r="L66" s="78">
        <v>70057.19</v>
      </c>
      <c r="M66" s="68"/>
      <c r="N66" s="78">
        <f>+L66</f>
        <v>70057.19</v>
      </c>
      <c r="O66" s="64" t="s">
        <v>147</v>
      </c>
      <c r="Q66" s="78"/>
    </row>
    <row r="67" spans="2:21" ht="24" hidden="1" customHeight="1" x14ac:dyDescent="0.35">
      <c r="B67" s="64" t="s">
        <v>256</v>
      </c>
      <c r="C67" s="79" t="s">
        <v>80</v>
      </c>
      <c r="D67" s="78"/>
      <c r="E67" s="78"/>
      <c r="F67" s="78"/>
      <c r="G67" s="78"/>
      <c r="H67" s="78"/>
      <c r="I67" s="79"/>
      <c r="J67" s="79"/>
      <c r="K67" s="79"/>
      <c r="L67" s="78"/>
      <c r="M67" s="68"/>
      <c r="N67" s="78"/>
      <c r="Q67" s="78"/>
    </row>
    <row r="68" spans="2:21" ht="24" customHeight="1" x14ac:dyDescent="0.35">
      <c r="B68" s="76" t="s">
        <v>56</v>
      </c>
      <c r="C68" s="79" t="s">
        <v>80</v>
      </c>
      <c r="D68" s="78"/>
      <c r="E68" s="78"/>
      <c r="F68" s="78"/>
      <c r="G68" s="78"/>
      <c r="H68" s="78">
        <v>7000000</v>
      </c>
      <c r="I68" s="79"/>
      <c r="J68" s="79"/>
      <c r="K68" s="79"/>
      <c r="L68" s="78">
        <v>1000000</v>
      </c>
      <c r="M68" s="68"/>
      <c r="N68" s="78">
        <f>+L68</f>
        <v>1000000</v>
      </c>
      <c r="O68" s="64" t="s">
        <v>147</v>
      </c>
      <c r="Q68" s="78">
        <v>1500000</v>
      </c>
    </row>
    <row r="69" spans="2:21" ht="24" customHeight="1" x14ac:dyDescent="0.35">
      <c r="B69" s="135" t="s">
        <v>261</v>
      </c>
      <c r="C69" s="135" t="s">
        <v>80</v>
      </c>
      <c r="D69" s="136"/>
      <c r="E69" s="136"/>
      <c r="F69" s="136"/>
      <c r="G69" s="136"/>
      <c r="H69" s="136">
        <f>+'شرائح المرتبات 11 (توزيع) (2)'!D13</f>
        <v>6363165.4143549995</v>
      </c>
      <c r="I69" s="135"/>
      <c r="J69" s="135"/>
      <c r="K69" s="135"/>
      <c r="L69" s="136"/>
      <c r="M69" s="139"/>
      <c r="N69" s="136"/>
      <c r="O69" s="135"/>
      <c r="P69" s="135"/>
      <c r="Q69" s="136">
        <f>+'شرائح المرتبات 11 (توزيع) (2)'!D6+'شرائح المرتبات 11 (توزيع) (2)'!D7+'شرائح المرتبات 11 (توزيع) (2)'!D8+'شرائح المرتبات 11 (توزيع) (2)'!D9</f>
        <v>1685682.2678949998</v>
      </c>
      <c r="R69" s="149"/>
      <c r="T69" s="76">
        <f>+'شرائح المرتبات 11 (توزيع) (2)'!D19</f>
        <v>706605</v>
      </c>
      <c r="U69" s="73"/>
    </row>
    <row r="70" spans="2:21" ht="24" customHeight="1" x14ac:dyDescent="0.35">
      <c r="B70" s="135" t="s">
        <v>234</v>
      </c>
      <c r="C70" s="135" t="s">
        <v>80</v>
      </c>
      <c r="D70" s="136"/>
      <c r="E70" s="136"/>
      <c r="F70" s="136"/>
      <c r="G70" s="136"/>
      <c r="H70" s="136">
        <v>100000</v>
      </c>
      <c r="I70" s="135"/>
      <c r="J70" s="135"/>
      <c r="K70" s="135"/>
      <c r="L70" s="136"/>
      <c r="M70" s="139"/>
      <c r="N70" s="136"/>
      <c r="O70" s="135"/>
      <c r="P70" s="135"/>
      <c r="Q70" s="136"/>
      <c r="R70" s="149"/>
    </row>
    <row r="71" spans="2:21" ht="24" customHeight="1" x14ac:dyDescent="0.35">
      <c r="B71" s="64" t="s">
        <v>46</v>
      </c>
      <c r="C71" s="79" t="s">
        <v>80</v>
      </c>
      <c r="D71" s="78"/>
      <c r="E71" s="78"/>
      <c r="F71" s="78"/>
      <c r="G71" s="78"/>
      <c r="H71" s="78">
        <v>225905.47000000003</v>
      </c>
      <c r="I71" s="79"/>
      <c r="J71" s="79"/>
      <c r="K71" s="79"/>
      <c r="L71" s="78">
        <v>225905.47000000003</v>
      </c>
      <c r="M71" s="68"/>
      <c r="N71" s="78">
        <f>+L71</f>
        <v>225905.47000000003</v>
      </c>
      <c r="O71" s="64" t="s">
        <v>147</v>
      </c>
      <c r="Q71" s="78"/>
    </row>
    <row r="72" spans="2:21" ht="24" customHeight="1" x14ac:dyDescent="0.35">
      <c r="B72" s="64" t="s">
        <v>44</v>
      </c>
      <c r="C72" s="79" t="s">
        <v>80</v>
      </c>
      <c r="D72" s="78"/>
      <c r="E72" s="78"/>
      <c r="F72" s="78"/>
      <c r="G72" s="78"/>
      <c r="H72" s="78">
        <v>557010.13</v>
      </c>
      <c r="I72" s="79"/>
      <c r="J72" s="79"/>
      <c r="K72" s="79"/>
      <c r="L72" s="78">
        <v>557010.13</v>
      </c>
      <c r="M72" s="68"/>
      <c r="N72" s="78">
        <f>+L72</f>
        <v>557010.13</v>
      </c>
      <c r="O72" s="64" t="s">
        <v>147</v>
      </c>
      <c r="Q72" s="78"/>
    </row>
    <row r="73" spans="2:21" ht="24" customHeight="1" x14ac:dyDescent="0.35">
      <c r="B73" s="64" t="s">
        <v>178</v>
      </c>
      <c r="C73" s="79" t="s">
        <v>80</v>
      </c>
      <c r="D73" s="78"/>
      <c r="E73" s="78"/>
      <c r="F73" s="78"/>
      <c r="G73" s="78"/>
      <c r="H73" s="78">
        <v>0</v>
      </c>
      <c r="I73" s="79"/>
      <c r="J73" s="79"/>
      <c r="K73" s="79"/>
      <c r="L73" s="78">
        <v>2500000</v>
      </c>
      <c r="M73" s="68"/>
      <c r="N73" s="78">
        <f>+L73</f>
        <v>2500000</v>
      </c>
      <c r="O73" s="64" t="s">
        <v>147</v>
      </c>
      <c r="Q73" s="78"/>
      <c r="S73" s="78"/>
    </row>
    <row r="74" spans="2:21" ht="24" customHeight="1" x14ac:dyDescent="0.35">
      <c r="B74" s="64" t="s">
        <v>179</v>
      </c>
      <c r="C74" s="79" t="s">
        <v>80</v>
      </c>
      <c r="D74" s="78"/>
      <c r="E74" s="78"/>
      <c r="F74" s="78"/>
      <c r="G74" s="78"/>
      <c r="H74" s="78">
        <v>833000</v>
      </c>
      <c r="I74" s="79"/>
      <c r="J74" s="79"/>
      <c r="K74" s="79"/>
      <c r="L74" s="78">
        <v>7500000</v>
      </c>
      <c r="M74" s="68"/>
      <c r="N74" s="78">
        <v>4350000</v>
      </c>
      <c r="O74" s="64" t="s">
        <v>147</v>
      </c>
      <c r="Q74" s="78"/>
    </row>
    <row r="75" spans="2:21" ht="24" customHeight="1" x14ac:dyDescent="0.35">
      <c r="B75" s="64" t="s">
        <v>211</v>
      </c>
      <c r="C75" s="79" t="s">
        <v>80</v>
      </c>
      <c r="D75" s="78"/>
      <c r="E75" s="78"/>
      <c r="F75" s="78"/>
      <c r="G75" s="78"/>
      <c r="H75" s="78">
        <v>200000</v>
      </c>
      <c r="I75" s="79"/>
      <c r="J75" s="79"/>
      <c r="K75" s="79"/>
      <c r="L75" s="78"/>
      <c r="M75" s="68"/>
      <c r="N75" s="78">
        <v>500000</v>
      </c>
      <c r="O75" s="64" t="s">
        <v>147</v>
      </c>
      <c r="Q75" s="78"/>
    </row>
    <row r="76" spans="2:21" ht="24" customHeight="1" x14ac:dyDescent="0.35">
      <c r="B76" s="64" t="s">
        <v>129</v>
      </c>
      <c r="C76" s="79" t="s">
        <v>80</v>
      </c>
      <c r="D76" s="78"/>
      <c r="E76" s="78"/>
      <c r="F76" s="78"/>
      <c r="G76" s="78"/>
      <c r="H76" s="78">
        <v>3000000</v>
      </c>
      <c r="I76" s="79"/>
      <c r="J76" s="79"/>
      <c r="K76" s="79"/>
      <c r="L76" s="78">
        <v>500000</v>
      </c>
      <c r="M76" s="68"/>
      <c r="N76" s="78">
        <f>+L76</f>
        <v>500000</v>
      </c>
      <c r="O76" s="64" t="s">
        <v>147</v>
      </c>
      <c r="Q76" s="78"/>
    </row>
    <row r="77" spans="2:21" ht="24" customHeight="1" x14ac:dyDescent="0.35">
      <c r="B77" s="64" t="s">
        <v>100</v>
      </c>
      <c r="C77" s="79" t="s">
        <v>80</v>
      </c>
      <c r="D77" s="78"/>
      <c r="E77" s="78"/>
      <c r="F77" s="78"/>
      <c r="G77" s="78"/>
      <c r="H77" s="78">
        <v>2867232</v>
      </c>
      <c r="I77" s="79"/>
      <c r="J77" s="79"/>
      <c r="K77" s="79"/>
      <c r="L77" s="78">
        <v>750000</v>
      </c>
      <c r="M77" s="68"/>
      <c r="N77" s="78">
        <v>250000</v>
      </c>
      <c r="O77" s="64" t="s">
        <v>147</v>
      </c>
      <c r="Q77" s="78"/>
    </row>
    <row r="78" spans="2:21" ht="24" customHeight="1" x14ac:dyDescent="0.35">
      <c r="B78" s="64" t="s">
        <v>150</v>
      </c>
      <c r="C78" s="79" t="s">
        <v>80</v>
      </c>
      <c r="D78" s="78"/>
      <c r="E78" s="78"/>
      <c r="F78" s="78"/>
      <c r="G78" s="78"/>
      <c r="H78" s="78">
        <v>0</v>
      </c>
      <c r="I78" s="79"/>
      <c r="J78" s="79"/>
      <c r="K78" s="79"/>
      <c r="L78" s="78"/>
      <c r="M78" s="68"/>
      <c r="N78" s="78"/>
      <c r="Q78" s="78"/>
    </row>
    <row r="79" spans="2:21" ht="24" customHeight="1" x14ac:dyDescent="0.35">
      <c r="B79" s="64" t="s">
        <v>61</v>
      </c>
      <c r="C79" s="79" t="s">
        <v>80</v>
      </c>
      <c r="D79" s="78"/>
      <c r="E79" s="78"/>
      <c r="F79" s="78"/>
      <c r="G79" s="78"/>
      <c r="H79" s="78">
        <v>5550000</v>
      </c>
      <c r="I79" s="79"/>
      <c r="J79" s="79"/>
      <c r="K79" s="79"/>
      <c r="L79" s="78">
        <v>0</v>
      </c>
      <c r="M79" s="68"/>
      <c r="N79" s="78"/>
      <c r="Q79" s="78"/>
      <c r="R79" s="64" t="s">
        <v>253</v>
      </c>
    </row>
    <row r="80" spans="2:21" ht="24" customHeight="1" x14ac:dyDescent="0.35">
      <c r="B80" s="64" t="s">
        <v>63</v>
      </c>
      <c r="C80" s="79" t="s">
        <v>80</v>
      </c>
      <c r="D80" s="78"/>
      <c r="E80" s="78"/>
      <c r="F80" s="78"/>
      <c r="G80" s="78"/>
      <c r="H80" s="78">
        <v>33888000</v>
      </c>
      <c r="I80" s="79"/>
      <c r="J80" s="79"/>
      <c r="K80" s="79"/>
      <c r="L80" s="78">
        <v>8653843</v>
      </c>
      <c r="M80" s="68"/>
      <c r="N80" s="78">
        <v>0</v>
      </c>
      <c r="Q80" s="78"/>
    </row>
    <row r="81" spans="1:21" ht="24" customHeight="1" x14ac:dyDescent="0.35">
      <c r="B81" s="64" t="s">
        <v>254</v>
      </c>
      <c r="C81" s="79" t="s">
        <v>80</v>
      </c>
      <c r="D81" s="78"/>
      <c r="E81" s="78"/>
      <c r="F81" s="78"/>
      <c r="G81" s="78"/>
      <c r="H81" s="78">
        <v>29122009.210000001</v>
      </c>
      <c r="I81" s="79"/>
      <c r="J81" s="79"/>
      <c r="K81" s="79"/>
      <c r="L81" s="78">
        <v>0</v>
      </c>
      <c r="M81" s="68"/>
      <c r="N81" s="78">
        <v>0</v>
      </c>
      <c r="Q81" s="78"/>
    </row>
    <row r="82" spans="1:21" ht="24" customHeight="1" x14ac:dyDescent="0.35">
      <c r="B82" s="64" t="s">
        <v>66</v>
      </c>
      <c r="C82" s="79" t="s">
        <v>80</v>
      </c>
      <c r="D82" s="78"/>
      <c r="E82" s="78"/>
      <c r="F82" s="78"/>
      <c r="G82" s="78"/>
      <c r="H82" s="78">
        <f>+'[1]الاهلى للتاجير التمويل'!$S$21+'[1]الاهلى للتاجير التمويل'!$U$21</f>
        <v>27685473</v>
      </c>
      <c r="I82" s="79"/>
      <c r="J82" s="79"/>
      <c r="K82" s="79"/>
      <c r="L82" s="78">
        <v>5208430</v>
      </c>
      <c r="M82" s="68"/>
      <c r="N82" s="78">
        <v>1000000</v>
      </c>
      <c r="O82" s="64" t="s">
        <v>147</v>
      </c>
      <c r="Q82" s="78"/>
      <c r="T82" s="141">
        <f>+H82</f>
        <v>27685473</v>
      </c>
    </row>
    <row r="83" spans="1:21" ht="19" customHeight="1" x14ac:dyDescent="0.35">
      <c r="A83" s="64" t="s">
        <v>36</v>
      </c>
      <c r="B83" s="64" t="s">
        <v>67</v>
      </c>
      <c r="C83" s="79" t="s">
        <v>80</v>
      </c>
      <c r="D83" s="78"/>
      <c r="E83" s="78"/>
      <c r="F83" s="78"/>
      <c r="G83" s="78"/>
      <c r="H83" s="78">
        <f>14216909.25-1870000</f>
        <v>12346909.25</v>
      </c>
      <c r="I83" s="79"/>
      <c r="J83" s="79"/>
      <c r="K83" s="79"/>
      <c r="L83" s="78">
        <v>2908449</v>
      </c>
      <c r="M83" s="68"/>
      <c r="N83" s="78">
        <v>0</v>
      </c>
      <c r="Q83" s="78"/>
      <c r="T83" s="141">
        <f>+T82+T19</f>
        <v>27685473</v>
      </c>
    </row>
    <row r="84" spans="1:21" ht="19" customHeight="1" x14ac:dyDescent="0.35">
      <c r="B84" s="64" t="s">
        <v>68</v>
      </c>
      <c r="C84" s="79" t="s">
        <v>80</v>
      </c>
      <c r="D84" s="78"/>
      <c r="E84" s="78"/>
      <c r="F84" s="78"/>
      <c r="G84" s="78"/>
      <c r="H84" s="78">
        <v>0</v>
      </c>
      <c r="I84" s="79"/>
      <c r="J84" s="79"/>
      <c r="K84" s="79"/>
      <c r="L84" s="78">
        <f>+H84</f>
        <v>0</v>
      </c>
      <c r="M84" s="68"/>
      <c r="N84" s="78">
        <v>2000000</v>
      </c>
      <c r="O84" s="64" t="s">
        <v>147</v>
      </c>
      <c r="Q84" s="78"/>
      <c r="R84" s="137">
        <f>SUM(Q62:Q83)</f>
        <v>3185682.2678950001</v>
      </c>
      <c r="S84" s="141"/>
      <c r="T84" s="141"/>
      <c r="U84" s="77" t="s">
        <v>80</v>
      </c>
    </row>
    <row r="85" spans="1:21" ht="19" customHeight="1" x14ac:dyDescent="0.35">
      <c r="B85" s="81" t="s">
        <v>65</v>
      </c>
      <c r="C85" s="81" t="s">
        <v>115</v>
      </c>
      <c r="D85" s="80">
        <v>8409337</v>
      </c>
      <c r="E85" s="80"/>
      <c r="F85" s="80"/>
      <c r="G85" s="80"/>
      <c r="H85" s="80">
        <v>8409337</v>
      </c>
      <c r="I85" s="81"/>
      <c r="J85" s="82"/>
      <c r="K85" s="81"/>
      <c r="L85" s="82"/>
      <c r="M85" s="83"/>
      <c r="N85" s="82">
        <v>0</v>
      </c>
      <c r="Q85" s="82"/>
    </row>
    <row r="86" spans="1:21" ht="24" customHeight="1" x14ac:dyDescent="0.35">
      <c r="B86" s="81" t="s">
        <v>88</v>
      </c>
      <c r="C86" s="81" t="s">
        <v>115</v>
      </c>
      <c r="D86" s="80">
        <v>0</v>
      </c>
      <c r="E86" s="80"/>
      <c r="F86" s="80"/>
      <c r="G86" s="80"/>
      <c r="H86" s="80">
        <v>804612</v>
      </c>
      <c r="I86" s="81"/>
      <c r="J86" s="81"/>
      <c r="K86" s="81"/>
      <c r="L86" s="80">
        <f>+H86</f>
        <v>804612</v>
      </c>
      <c r="M86" s="84"/>
      <c r="N86" s="80">
        <f>+L86</f>
        <v>804612</v>
      </c>
      <c r="O86" s="64" t="s">
        <v>147</v>
      </c>
      <c r="Q86" s="82"/>
    </row>
    <row r="87" spans="1:21" ht="24" customHeight="1" x14ac:dyDescent="0.35">
      <c r="B87" s="81" t="s">
        <v>89</v>
      </c>
      <c r="C87" s="81" t="s">
        <v>115</v>
      </c>
      <c r="D87" s="80">
        <v>0</v>
      </c>
      <c r="E87" s="80"/>
      <c r="F87" s="80"/>
      <c r="G87" s="80"/>
      <c r="H87" s="80">
        <v>200000</v>
      </c>
      <c r="I87" s="81"/>
      <c r="J87" s="81"/>
      <c r="K87" s="81"/>
      <c r="L87" s="80">
        <f>+H87</f>
        <v>200000</v>
      </c>
      <c r="M87" s="84"/>
      <c r="N87" s="80">
        <f>+L87</f>
        <v>200000</v>
      </c>
      <c r="O87" s="64" t="s">
        <v>147</v>
      </c>
      <c r="Q87" s="82"/>
    </row>
    <row r="88" spans="1:21" ht="24" customHeight="1" x14ac:dyDescent="0.35">
      <c r="B88" s="81" t="s">
        <v>159</v>
      </c>
      <c r="C88" s="81" t="s">
        <v>115</v>
      </c>
      <c r="D88" s="80">
        <v>1048242</v>
      </c>
      <c r="E88" s="80"/>
      <c r="F88" s="80"/>
      <c r="G88" s="80"/>
      <c r="H88" s="80">
        <f>1160385.6+1168165.89</f>
        <v>2328551.4900000002</v>
      </c>
      <c r="I88" s="81"/>
      <c r="J88" s="81"/>
      <c r="K88" s="81"/>
      <c r="L88" s="80">
        <v>250000</v>
      </c>
      <c r="M88" s="84"/>
      <c r="N88" s="80">
        <f>+L88</f>
        <v>250000</v>
      </c>
      <c r="O88" s="64" t="s">
        <v>147</v>
      </c>
      <c r="Q88" s="82"/>
    </row>
    <row r="89" spans="1:21" ht="24" customHeight="1" x14ac:dyDescent="0.35">
      <c r="B89" s="81" t="s">
        <v>160</v>
      </c>
      <c r="C89" s="81" t="s">
        <v>115</v>
      </c>
      <c r="D89" s="80">
        <v>200000</v>
      </c>
      <c r="E89" s="80"/>
      <c r="F89" s="80"/>
      <c r="G89" s="80"/>
      <c r="H89" s="80">
        <v>8296993.1899999995</v>
      </c>
      <c r="I89" s="81"/>
      <c r="J89" s="81"/>
      <c r="K89" s="81"/>
      <c r="L89" s="80">
        <v>200000</v>
      </c>
      <c r="M89" s="84"/>
      <c r="N89" s="80"/>
      <c r="O89" s="64" t="s">
        <v>147</v>
      </c>
      <c r="Q89" s="82"/>
    </row>
    <row r="90" spans="1:21" ht="24" customHeight="1" x14ac:dyDescent="0.35">
      <c r="B90" s="81" t="s">
        <v>91</v>
      </c>
      <c r="C90" s="81" t="s">
        <v>115</v>
      </c>
      <c r="D90" s="80">
        <v>1160385.6000000001</v>
      </c>
      <c r="E90" s="80"/>
      <c r="F90" s="80"/>
      <c r="G90" s="80"/>
      <c r="H90" s="80">
        <f>470538.38+225842.53</f>
        <v>696380.91</v>
      </c>
      <c r="I90" s="81"/>
      <c r="J90" s="81"/>
      <c r="K90" s="81"/>
      <c r="L90" s="80">
        <v>0</v>
      </c>
      <c r="M90" s="84"/>
      <c r="N90" s="80"/>
      <c r="Q90" s="82"/>
    </row>
    <row r="91" spans="1:21" ht="24" customHeight="1" x14ac:dyDescent="0.35">
      <c r="B91" s="81" t="s">
        <v>92</v>
      </c>
      <c r="C91" s="81" t="s">
        <v>115</v>
      </c>
      <c r="D91" s="80">
        <v>8296993.1899999995</v>
      </c>
      <c r="E91" s="80"/>
      <c r="F91" s="80"/>
      <c r="G91" s="80"/>
      <c r="H91" s="80">
        <v>1100000</v>
      </c>
      <c r="I91" s="81"/>
      <c r="J91" s="81"/>
      <c r="K91" s="81"/>
      <c r="L91" s="80"/>
      <c r="M91" s="84"/>
      <c r="N91" s="80"/>
      <c r="Q91" s="82"/>
    </row>
    <row r="92" spans="1:21" ht="24" customHeight="1" x14ac:dyDescent="0.35">
      <c r="B92" s="81" t="s">
        <v>152</v>
      </c>
      <c r="C92" s="81" t="s">
        <v>115</v>
      </c>
      <c r="D92" s="80">
        <v>470538.38</v>
      </c>
      <c r="E92" s="80"/>
      <c r="F92" s="80"/>
      <c r="G92" s="80"/>
      <c r="H92" s="80">
        <f>1767399.18</f>
        <v>1767399.18</v>
      </c>
      <c r="I92" s="81"/>
      <c r="J92" s="81"/>
      <c r="K92" s="81"/>
      <c r="L92" s="80">
        <v>0</v>
      </c>
      <c r="M92" s="84"/>
      <c r="N92" s="80"/>
      <c r="Q92" s="82"/>
    </row>
    <row r="93" spans="1:21" ht="24" customHeight="1" x14ac:dyDescent="0.35">
      <c r="B93" s="135" t="s">
        <v>262</v>
      </c>
      <c r="C93" s="135" t="s">
        <v>115</v>
      </c>
      <c r="D93" s="136"/>
      <c r="E93" s="136"/>
      <c r="F93" s="136"/>
      <c r="G93" s="136"/>
      <c r="H93" s="136">
        <f>+'شرائح المرتبات 11 (شرق اوسط))'!D13</f>
        <v>9179997</v>
      </c>
      <c r="I93" s="135"/>
      <c r="J93" s="135"/>
      <c r="K93" s="135"/>
      <c r="L93" s="136"/>
      <c r="M93" s="139"/>
      <c r="N93" s="136"/>
      <c r="O93" s="135"/>
      <c r="P93" s="135"/>
      <c r="Q93" s="137"/>
      <c r="R93" s="149"/>
      <c r="T93" s="76">
        <f>+'شرائح المرتبات 11 (شرق اوسط))'!F19</f>
        <v>1204946</v>
      </c>
    </row>
    <row r="94" spans="1:21" ht="24" customHeight="1" x14ac:dyDescent="0.35">
      <c r="B94" s="81" t="s">
        <v>153</v>
      </c>
      <c r="C94" s="81" t="s">
        <v>115</v>
      </c>
      <c r="D94" s="80">
        <v>1100000</v>
      </c>
      <c r="E94" s="80"/>
      <c r="F94" s="80"/>
      <c r="G94" s="80"/>
      <c r="H94" s="80">
        <v>5699674.5499999998</v>
      </c>
      <c r="I94" s="81"/>
      <c r="J94" s="81"/>
      <c r="K94" s="81"/>
      <c r="L94" s="80">
        <v>0</v>
      </c>
      <c r="M94" s="84"/>
      <c r="N94" s="80"/>
      <c r="Q94" s="82"/>
    </row>
    <row r="95" spans="1:21" ht="24" customHeight="1" x14ac:dyDescent="0.35">
      <c r="B95" s="81" t="s">
        <v>154</v>
      </c>
      <c r="C95" s="81" t="s">
        <v>115</v>
      </c>
      <c r="D95" s="80">
        <v>1767057</v>
      </c>
      <c r="E95" s="80"/>
      <c r="F95" s="80"/>
      <c r="G95" s="80"/>
      <c r="H95" s="80">
        <f>28276010.22+579537.54</f>
        <v>28855547.759999998</v>
      </c>
      <c r="I95" s="81"/>
      <c r="J95" s="81"/>
      <c r="K95" s="81"/>
      <c r="L95" s="80"/>
      <c r="M95" s="84"/>
      <c r="N95" s="80"/>
      <c r="Q95" s="82"/>
    </row>
    <row r="96" spans="1:21" ht="24" customHeight="1" x14ac:dyDescent="0.35">
      <c r="B96" s="81" t="s">
        <v>155</v>
      </c>
      <c r="C96" s="81" t="s">
        <v>115</v>
      </c>
      <c r="D96" s="80">
        <v>5699674.5499999998</v>
      </c>
      <c r="E96" s="80"/>
      <c r="F96" s="80"/>
      <c r="G96" s="80"/>
      <c r="H96" s="80">
        <v>13830451</v>
      </c>
      <c r="I96" s="81"/>
      <c r="J96" s="81"/>
      <c r="K96" s="81"/>
      <c r="L96" s="80"/>
      <c r="M96" s="84"/>
      <c r="N96" s="80"/>
      <c r="Q96" s="82"/>
    </row>
    <row r="97" spans="1:22" ht="24" customHeight="1" x14ac:dyDescent="0.35">
      <c r="B97" s="81" t="s">
        <v>181</v>
      </c>
      <c r="C97" s="81" t="s">
        <v>115</v>
      </c>
      <c r="D97" s="80">
        <v>28276010.219999999</v>
      </c>
      <c r="E97" s="80"/>
      <c r="F97" s="80"/>
      <c r="G97" s="80"/>
      <c r="H97" s="80">
        <f>(400000+86570+280000+10000000)*0</f>
        <v>0</v>
      </c>
      <c r="I97" s="81"/>
      <c r="J97" s="81"/>
      <c r="K97" s="81"/>
      <c r="L97" s="80"/>
      <c r="M97" s="84"/>
      <c r="N97" s="80"/>
      <c r="Q97" s="82"/>
    </row>
    <row r="98" spans="1:22" ht="24" customHeight="1" x14ac:dyDescent="0.35">
      <c r="B98" s="81" t="s">
        <v>94</v>
      </c>
      <c r="C98" s="81" t="s">
        <v>115</v>
      </c>
      <c r="D98" s="80">
        <v>13830451</v>
      </c>
      <c r="E98" s="80"/>
      <c r="F98" s="80"/>
      <c r="G98" s="80"/>
      <c r="H98" s="80">
        <f>574787+58691</f>
        <v>633478</v>
      </c>
      <c r="I98" s="81"/>
      <c r="J98" s="81"/>
      <c r="K98" s="81"/>
      <c r="L98" s="80"/>
      <c r="M98" s="84"/>
      <c r="N98" s="80"/>
      <c r="Q98" s="82"/>
    </row>
    <row r="99" spans="1:22" s="76" customFormat="1" ht="24" customHeight="1" x14ac:dyDescent="0.35">
      <c r="A99" s="64"/>
      <c r="B99" s="81" t="s">
        <v>95</v>
      </c>
      <c r="C99" s="81" t="s">
        <v>115</v>
      </c>
      <c r="D99" s="80">
        <v>309345</v>
      </c>
      <c r="E99" s="80"/>
      <c r="F99" s="80"/>
      <c r="G99" s="80"/>
      <c r="H99" s="80">
        <f>1011897+3189955</f>
        <v>4201852</v>
      </c>
      <c r="I99" s="81"/>
      <c r="J99" s="81"/>
      <c r="K99" s="81"/>
      <c r="L99" s="80">
        <f>+H99</f>
        <v>4201852</v>
      </c>
      <c r="M99" s="84"/>
      <c r="N99" s="69">
        <f>+L99</f>
        <v>4201852</v>
      </c>
      <c r="O99" s="77" t="s">
        <v>148</v>
      </c>
      <c r="P99" s="77"/>
      <c r="Q99" s="80"/>
    </row>
    <row r="100" spans="1:22" ht="24" customHeight="1" x14ac:dyDescent="0.35">
      <c r="B100" s="81" t="s">
        <v>156</v>
      </c>
      <c r="C100" s="81" t="s">
        <v>115</v>
      </c>
      <c r="D100" s="80">
        <v>750000</v>
      </c>
      <c r="E100" s="80"/>
      <c r="F100" s="80"/>
      <c r="G100" s="80"/>
      <c r="H100" s="80">
        <f>6113117+6113117</f>
        <v>12226234</v>
      </c>
      <c r="I100" s="81"/>
      <c r="J100" s="81"/>
      <c r="K100" s="81"/>
      <c r="L100" s="80">
        <v>200000</v>
      </c>
      <c r="M100" s="84"/>
      <c r="N100" s="80">
        <f>+L100</f>
        <v>200000</v>
      </c>
      <c r="O100" s="64" t="s">
        <v>147</v>
      </c>
      <c r="Q100" s="82"/>
      <c r="T100" s="141">
        <f>+H100</f>
        <v>12226234</v>
      </c>
    </row>
    <row r="101" spans="1:22" ht="24" customHeight="1" x14ac:dyDescent="0.35">
      <c r="B101" s="81" t="s">
        <v>96</v>
      </c>
      <c r="C101" s="81" t="s">
        <v>115</v>
      </c>
      <c r="D101" s="80">
        <f>1011897+3189955</f>
        <v>4201852</v>
      </c>
      <c r="E101" s="80"/>
      <c r="F101" s="80"/>
      <c r="G101" s="80"/>
      <c r="H101" s="80">
        <v>1150556</v>
      </c>
      <c r="I101" s="81"/>
      <c r="J101" s="81"/>
      <c r="K101" s="81"/>
      <c r="L101" s="80">
        <f>+H101</f>
        <v>1150556</v>
      </c>
      <c r="M101" s="84"/>
      <c r="N101" s="80">
        <v>0</v>
      </c>
      <c r="O101" s="76"/>
      <c r="P101" s="76"/>
      <c r="Q101" s="82"/>
      <c r="R101" s="76"/>
      <c r="T101" s="141">
        <f>SUM(T83:T100)</f>
        <v>41116653</v>
      </c>
      <c r="U101" s="76"/>
      <c r="V101" s="76"/>
    </row>
    <row r="102" spans="1:22" ht="24" customHeight="1" x14ac:dyDescent="0.35">
      <c r="B102" s="81" t="s">
        <v>182</v>
      </c>
      <c r="C102" s="81" t="s">
        <v>115</v>
      </c>
      <c r="D102" s="80">
        <v>6113117</v>
      </c>
      <c r="E102" s="80"/>
      <c r="F102" s="80"/>
      <c r="G102" s="80"/>
      <c r="H102" s="80">
        <v>239124</v>
      </c>
      <c r="I102" s="81"/>
      <c r="J102" s="81"/>
      <c r="K102" s="81"/>
      <c r="L102" s="80"/>
      <c r="M102" s="84"/>
      <c r="N102" s="80"/>
      <c r="O102" s="76"/>
      <c r="P102" s="76"/>
      <c r="Q102" s="82"/>
      <c r="R102" s="76"/>
      <c r="U102" s="76"/>
      <c r="V102" s="76"/>
    </row>
    <row r="103" spans="1:22" ht="24" customHeight="1" x14ac:dyDescent="0.35">
      <c r="B103" s="81" t="s">
        <v>101</v>
      </c>
      <c r="C103" s="81" t="s">
        <v>115</v>
      </c>
      <c r="D103" s="80">
        <v>193931</v>
      </c>
      <c r="E103" s="80"/>
      <c r="F103" s="80"/>
      <c r="G103" s="80"/>
      <c r="H103" s="80">
        <v>200000</v>
      </c>
      <c r="I103" s="81"/>
      <c r="J103" s="81"/>
      <c r="K103" s="81"/>
      <c r="L103" s="80">
        <f>+H103</f>
        <v>200000</v>
      </c>
      <c r="M103" s="84"/>
      <c r="N103" s="80">
        <v>793116</v>
      </c>
      <c r="O103" s="64" t="s">
        <v>147</v>
      </c>
      <c r="Q103" s="82"/>
    </row>
    <row r="104" spans="1:22" ht="24" customHeight="1" x14ac:dyDescent="0.35">
      <c r="B104" s="81" t="s">
        <v>102</v>
      </c>
      <c r="C104" s="81" t="s">
        <v>115</v>
      </c>
      <c r="D104" s="80">
        <v>200000</v>
      </c>
      <c r="E104" s="80"/>
      <c r="F104" s="80"/>
      <c r="G104" s="80"/>
      <c r="H104" s="80">
        <v>100000</v>
      </c>
      <c r="I104" s="81"/>
      <c r="J104" s="81"/>
      <c r="K104" s="81"/>
      <c r="L104" s="80">
        <v>0</v>
      </c>
      <c r="M104" s="84"/>
      <c r="N104" s="80"/>
      <c r="Q104" s="82"/>
    </row>
    <row r="105" spans="1:22" ht="24" customHeight="1" x14ac:dyDescent="0.35">
      <c r="B105" s="81" t="s">
        <v>103</v>
      </c>
      <c r="C105" s="81" t="s">
        <v>115</v>
      </c>
      <c r="D105" s="80">
        <v>100000</v>
      </c>
      <c r="E105" s="80"/>
      <c r="F105" s="80"/>
      <c r="G105" s="80"/>
      <c r="H105" s="80">
        <v>59907193.68</v>
      </c>
      <c r="I105" s="81"/>
      <c r="J105" s="81"/>
      <c r="K105" s="81"/>
      <c r="L105" s="80">
        <f>+H105</f>
        <v>59907193.68</v>
      </c>
      <c r="M105" s="84"/>
      <c r="N105" s="80">
        <v>200000</v>
      </c>
      <c r="O105" s="64" t="s">
        <v>147</v>
      </c>
      <c r="Q105" s="82"/>
      <c r="S105" s="153"/>
    </row>
    <row r="106" spans="1:22" ht="24" customHeight="1" x14ac:dyDescent="0.35">
      <c r="B106" s="81" t="s">
        <v>120</v>
      </c>
      <c r="C106" s="81" t="s">
        <v>115</v>
      </c>
      <c r="D106" s="80">
        <v>59591942.649999999</v>
      </c>
      <c r="E106" s="80"/>
      <c r="F106" s="80"/>
      <c r="G106" s="80"/>
      <c r="H106" s="80">
        <f>95049.63+41787.97+25741.2+1162000+610345+17647+12981.87+145068+2670053.54+1684091.32+15000000</f>
        <v>21464765.530000001</v>
      </c>
      <c r="I106" s="81"/>
      <c r="J106" s="81"/>
      <c r="K106" s="81"/>
      <c r="L106" s="80">
        <f>+H106</f>
        <v>21464765.530000001</v>
      </c>
      <c r="M106" s="84"/>
      <c r="N106" s="80">
        <v>350000</v>
      </c>
      <c r="O106" s="64" t="s">
        <v>147</v>
      </c>
      <c r="Q106" s="82">
        <v>10000000</v>
      </c>
    </row>
    <row r="107" spans="1:22" ht="24" customHeight="1" x14ac:dyDescent="0.35">
      <c r="B107" s="81" t="s">
        <v>104</v>
      </c>
      <c r="C107" s="81" t="s">
        <v>115</v>
      </c>
      <c r="D107" s="80">
        <v>15000000</v>
      </c>
      <c r="E107" s="80"/>
      <c r="F107" s="80"/>
      <c r="G107" s="80"/>
      <c r="H107" s="80">
        <v>66000</v>
      </c>
      <c r="I107" s="81"/>
      <c r="J107" s="81"/>
      <c r="K107" s="81"/>
      <c r="L107" s="80">
        <f>+H107</f>
        <v>66000</v>
      </c>
      <c r="M107" s="84"/>
      <c r="N107" s="80">
        <v>415000</v>
      </c>
      <c r="O107" s="64" t="s">
        <v>147</v>
      </c>
      <c r="Q107" s="82"/>
    </row>
    <row r="108" spans="1:22" ht="24" customHeight="1" x14ac:dyDescent="0.35">
      <c r="B108" s="81" t="s">
        <v>105</v>
      </c>
      <c r="C108" s="81" t="s">
        <v>115</v>
      </c>
      <c r="D108" s="80">
        <v>55000</v>
      </c>
      <c r="E108" s="80"/>
      <c r="F108" s="80"/>
      <c r="G108" s="80"/>
      <c r="H108" s="80">
        <f>84726.17+16905.1+2217.59+13200+16173.05+145000+327380.63+432900+103167.32+54882.9+32500+14615.32+7115.86+14229.77</f>
        <v>1265013.7100000002</v>
      </c>
      <c r="I108" s="81"/>
      <c r="J108" s="81"/>
      <c r="K108" s="81"/>
      <c r="L108" s="80">
        <f>+H108</f>
        <v>1265013.7100000002</v>
      </c>
      <c r="M108" s="84"/>
      <c r="N108" s="80">
        <v>200000</v>
      </c>
      <c r="O108" s="64" t="s">
        <v>147</v>
      </c>
      <c r="Q108" s="82"/>
    </row>
    <row r="109" spans="1:22" ht="24" customHeight="1" x14ac:dyDescent="0.35">
      <c r="B109" s="81" t="s">
        <v>106</v>
      </c>
      <c r="C109" s="81" t="s">
        <v>115</v>
      </c>
      <c r="D109" s="80">
        <v>1000000</v>
      </c>
      <c r="E109" s="80"/>
      <c r="F109" s="80"/>
      <c r="G109" s="80"/>
      <c r="H109" s="80">
        <v>300000</v>
      </c>
      <c r="I109" s="81"/>
      <c r="J109" s="81"/>
      <c r="K109" s="81"/>
      <c r="L109" s="80">
        <f>+H109</f>
        <v>300000</v>
      </c>
      <c r="M109" s="84"/>
      <c r="N109" s="80">
        <v>100000</v>
      </c>
      <c r="O109" s="64" t="s">
        <v>147</v>
      </c>
      <c r="Q109" s="82"/>
    </row>
    <row r="110" spans="1:22" ht="24" customHeight="1" x14ac:dyDescent="0.35">
      <c r="B110" s="81" t="s">
        <v>109</v>
      </c>
      <c r="C110" s="81" t="s">
        <v>115</v>
      </c>
      <c r="D110" s="80">
        <v>27621</v>
      </c>
      <c r="E110" s="80"/>
      <c r="F110" s="80"/>
      <c r="G110" s="80"/>
      <c r="H110" s="80">
        <f>350000+535000</f>
        <v>885000</v>
      </c>
      <c r="I110" s="81"/>
      <c r="J110" s="81"/>
      <c r="K110" s="81"/>
      <c r="L110" s="80">
        <v>0</v>
      </c>
      <c r="M110" s="84"/>
      <c r="N110" s="80">
        <v>0</v>
      </c>
      <c r="Q110" s="82"/>
    </row>
    <row r="111" spans="1:22" ht="24" customHeight="1" x14ac:dyDescent="0.35">
      <c r="B111" s="81" t="s">
        <v>110</v>
      </c>
      <c r="C111" s="81" t="s">
        <v>115</v>
      </c>
      <c r="D111" s="80">
        <v>907173</v>
      </c>
      <c r="E111" s="80"/>
      <c r="F111" s="80"/>
      <c r="G111" s="80"/>
      <c r="H111" s="80">
        <v>13545</v>
      </c>
      <c r="I111" s="81"/>
      <c r="J111" s="81"/>
      <c r="K111" s="81"/>
      <c r="L111" s="80">
        <v>0</v>
      </c>
      <c r="M111" s="84"/>
      <c r="N111" s="80">
        <v>0</v>
      </c>
      <c r="Q111" s="82"/>
    </row>
    <row r="112" spans="1:22" ht="24" customHeight="1" x14ac:dyDescent="0.35">
      <c r="B112" s="81" t="s">
        <v>111</v>
      </c>
      <c r="C112" s="81" t="s">
        <v>115</v>
      </c>
      <c r="D112" s="80">
        <v>14065</v>
      </c>
      <c r="E112" s="80"/>
      <c r="F112" s="80"/>
      <c r="G112" s="80"/>
      <c r="H112" s="80">
        <v>134063.46</v>
      </c>
      <c r="I112" s="81"/>
      <c r="J112" s="81"/>
      <c r="K112" s="81"/>
      <c r="L112" s="80">
        <v>0</v>
      </c>
      <c r="M112" s="84"/>
      <c r="N112" s="80">
        <f>5250000+1590000</f>
        <v>6840000</v>
      </c>
      <c r="O112" s="64" t="s">
        <v>147</v>
      </c>
      <c r="Q112" s="80"/>
    </row>
    <row r="113" spans="2:21" ht="24" customHeight="1" x14ac:dyDescent="0.35">
      <c r="B113" s="81" t="s">
        <v>100</v>
      </c>
      <c r="C113" s="81" t="s">
        <v>115</v>
      </c>
      <c r="D113" s="80">
        <v>134166</v>
      </c>
      <c r="E113" s="80"/>
      <c r="F113" s="80"/>
      <c r="G113" s="80"/>
      <c r="H113" s="80">
        <v>415000</v>
      </c>
      <c r="I113" s="81"/>
      <c r="J113" s="81"/>
      <c r="K113" s="81"/>
      <c r="L113" s="80">
        <f t="shared" ref="L113:L117" si="4">+H113</f>
        <v>415000</v>
      </c>
      <c r="M113" s="84"/>
      <c r="N113" s="80">
        <v>55000</v>
      </c>
      <c r="O113" s="64" t="s">
        <v>147</v>
      </c>
      <c r="Q113" s="80"/>
    </row>
    <row r="114" spans="2:21" ht="24" customHeight="1" x14ac:dyDescent="0.35">
      <c r="B114" s="81" t="s">
        <v>112</v>
      </c>
      <c r="C114" s="81" t="s">
        <v>115</v>
      </c>
      <c r="D114" s="80">
        <v>350000</v>
      </c>
      <c r="E114" s="80"/>
      <c r="F114" s="80"/>
      <c r="G114" s="80"/>
      <c r="H114" s="80">
        <v>350000</v>
      </c>
      <c r="I114" s="81"/>
      <c r="J114" s="81"/>
      <c r="K114" s="81"/>
      <c r="L114" s="80">
        <f t="shared" si="4"/>
        <v>350000</v>
      </c>
      <c r="M114" s="84"/>
      <c r="N114" s="80">
        <v>1244172</v>
      </c>
      <c r="O114" s="64" t="s">
        <v>147</v>
      </c>
      <c r="Q114" s="80"/>
    </row>
    <row r="115" spans="2:21" ht="24" customHeight="1" x14ac:dyDescent="0.35">
      <c r="B115" s="81" t="s">
        <v>157</v>
      </c>
      <c r="C115" s="81" t="s">
        <v>115</v>
      </c>
      <c r="D115" s="80">
        <v>2567863</v>
      </c>
      <c r="E115" s="80"/>
      <c r="F115" s="80"/>
      <c r="G115" s="80"/>
      <c r="H115" s="80">
        <v>1162000</v>
      </c>
      <c r="I115" s="81"/>
      <c r="J115" s="81"/>
      <c r="K115" s="81"/>
      <c r="L115" s="80">
        <f t="shared" si="4"/>
        <v>1162000</v>
      </c>
      <c r="M115" s="84"/>
      <c r="N115" s="80">
        <v>298936</v>
      </c>
      <c r="O115" s="64" t="s">
        <v>147</v>
      </c>
      <c r="Q115" s="82"/>
    </row>
    <row r="116" spans="2:21" ht="24" customHeight="1" x14ac:dyDescent="0.35">
      <c r="B116" s="81" t="s">
        <v>161</v>
      </c>
      <c r="C116" s="81" t="s">
        <v>115</v>
      </c>
      <c r="D116" s="80">
        <v>7900</v>
      </c>
      <c r="E116" s="80"/>
      <c r="F116" s="80"/>
      <c r="G116" s="80"/>
      <c r="H116" s="80">
        <f>1000+26106+25100</f>
        <v>52206</v>
      </c>
      <c r="I116" s="81"/>
      <c r="J116" s="81"/>
      <c r="K116" s="81"/>
      <c r="L116" s="80">
        <f t="shared" si="4"/>
        <v>52206</v>
      </c>
      <c r="M116" s="84"/>
      <c r="N116" s="80">
        <v>6324</v>
      </c>
      <c r="O116" s="64" t="s">
        <v>147</v>
      </c>
      <c r="Q116" s="82"/>
    </row>
    <row r="117" spans="2:21" ht="24" customHeight="1" x14ac:dyDescent="0.35">
      <c r="B117" s="81" t="s">
        <v>117</v>
      </c>
      <c r="C117" s="81" t="s">
        <v>115</v>
      </c>
      <c r="D117" s="80">
        <v>750000</v>
      </c>
      <c r="E117" s="80"/>
      <c r="F117" s="80"/>
      <c r="G117" s="80"/>
      <c r="H117" s="80">
        <f>(750000)*0</f>
        <v>0</v>
      </c>
      <c r="I117" s="81"/>
      <c r="J117" s="81"/>
      <c r="K117" s="81"/>
      <c r="L117" s="80">
        <f t="shared" si="4"/>
        <v>0</v>
      </c>
      <c r="M117" s="84"/>
      <c r="N117" s="80">
        <v>20130</v>
      </c>
      <c r="O117" s="64" t="s">
        <v>147</v>
      </c>
      <c r="Q117" s="82"/>
      <c r="S117" s="141"/>
    </row>
    <row r="118" spans="2:21" ht="24" customHeight="1" x14ac:dyDescent="0.35">
      <c r="B118" s="1" t="s">
        <v>3</v>
      </c>
      <c r="C118" s="1"/>
      <c r="D118" s="70">
        <f>SUM(D14:D117)</f>
        <v>294243837.58999997</v>
      </c>
      <c r="E118" s="70">
        <f>SUM(E14:E117)</f>
        <v>5680000</v>
      </c>
      <c r="F118" s="70">
        <f>SUM(F14:F117)</f>
        <v>126031173</v>
      </c>
      <c r="G118" s="70">
        <f>SUM(G14:G117)</f>
        <v>22130527.120000001</v>
      </c>
      <c r="H118" s="70">
        <f>SUM(H14:H117)</f>
        <v>661892878.30566347</v>
      </c>
      <c r="J118" s="70">
        <f>SUM(J24:J60)</f>
        <v>500000</v>
      </c>
      <c r="L118" s="70">
        <f>SUM(L14:L117)</f>
        <v>144475032.71000001</v>
      </c>
      <c r="M118" s="71"/>
      <c r="N118" s="70">
        <f>SUM(N14:N117)</f>
        <v>36757524.790000007</v>
      </c>
      <c r="Q118" s="70">
        <f>SUM(Q14:Q117)</f>
        <v>30961585.767894998</v>
      </c>
      <c r="R118" s="132">
        <f>SUM(Q85:Q117)</f>
        <v>10000000</v>
      </c>
      <c r="S118" s="70">
        <f>SUM(S14:S117)</f>
        <v>900920</v>
      </c>
      <c r="T118" s="141"/>
      <c r="U118" s="77" t="s">
        <v>115</v>
      </c>
    </row>
    <row r="120" spans="2:21" ht="24" customHeight="1" x14ac:dyDescent="0.35">
      <c r="B120" s="64" t="s">
        <v>118</v>
      </c>
      <c r="I120" s="63"/>
      <c r="J120" s="63"/>
      <c r="K120" s="63"/>
      <c r="L120" s="85">
        <f>SUBTOTAL(9,L14:L117)</f>
        <v>144475032.71000001</v>
      </c>
      <c r="M120" s="86"/>
      <c r="N120" s="85">
        <f>SUBTOTAL(9,N14:N117)</f>
        <v>36757524.790000007</v>
      </c>
      <c r="Q120" s="85">
        <f>SUBTOTAL(9,Q14:Q117)</f>
        <v>30961585.767894998</v>
      </c>
    </row>
    <row r="121" spans="2:21" ht="24" customHeight="1" x14ac:dyDescent="0.35">
      <c r="I121" s="63"/>
      <c r="J121" s="63"/>
      <c r="K121" s="63"/>
      <c r="L121" s="63"/>
      <c r="M121" s="68"/>
      <c r="N121" s="63"/>
      <c r="Q121" s="63"/>
    </row>
    <row r="122" spans="2:21" ht="24" customHeight="1" x14ac:dyDescent="0.35">
      <c r="B122" s="64" t="s">
        <v>119</v>
      </c>
      <c r="J122" s="70" t="e">
        <f>J11-#REF!</f>
        <v>#REF!</v>
      </c>
      <c r="L122" s="87">
        <f>+L11-L118</f>
        <v>-130921032.71000001</v>
      </c>
      <c r="M122" s="88"/>
      <c r="N122" s="87">
        <f>+N11-N118</f>
        <v>-22084524.790000007</v>
      </c>
      <c r="Q122" s="87">
        <f>+Q11-Q118</f>
        <v>38414.232105001807</v>
      </c>
    </row>
    <row r="124" spans="2:21" ht="24" customHeight="1" x14ac:dyDescent="0.35">
      <c r="Q124" s="73"/>
    </row>
    <row r="125" spans="2:21" ht="24" customHeight="1" x14ac:dyDescent="0.35">
      <c r="Q125" s="73"/>
    </row>
  </sheetData>
  <autoFilter ref="A13:O118" xr:uid="{AD6DE0DC-D163-4097-88EC-BD1A50B8CEC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21AC8-49CA-45B9-AD42-93853471B399}">
  <dimension ref="J4:O15"/>
  <sheetViews>
    <sheetView topLeftCell="G2" workbookViewId="0">
      <selection activeCell="N12" sqref="N12"/>
    </sheetView>
  </sheetViews>
  <sheetFormatPr defaultRowHeight="14.5" x14ac:dyDescent="0.35"/>
  <cols>
    <col min="10" max="10" width="12.6328125" bestFit="1" customWidth="1"/>
    <col min="11" max="11" width="25.453125" customWidth="1"/>
    <col min="13" max="13" width="13.453125" bestFit="1" customWidth="1"/>
    <col min="14" max="14" width="9.90625" bestFit="1" customWidth="1"/>
  </cols>
  <sheetData>
    <row r="4" spans="10:15" ht="37" x14ac:dyDescent="0.35">
      <c r="K4" s="56" t="s">
        <v>132</v>
      </c>
      <c r="L4" s="56" t="s">
        <v>133</v>
      </c>
      <c r="M4" s="56" t="s">
        <v>134</v>
      </c>
    </row>
    <row r="5" spans="10:15" ht="18.5" x14ac:dyDescent="0.35">
      <c r="J5" s="55"/>
      <c r="K5" s="60" t="s">
        <v>135</v>
      </c>
      <c r="L5" s="61">
        <v>1895</v>
      </c>
      <c r="M5" s="62">
        <v>7374395</v>
      </c>
    </row>
    <row r="6" spans="10:15" ht="18.5" x14ac:dyDescent="0.35">
      <c r="J6" s="55"/>
      <c r="K6" s="60" t="s">
        <v>136</v>
      </c>
      <c r="L6" s="61">
        <v>1407</v>
      </c>
      <c r="M6" s="62">
        <v>9239185</v>
      </c>
    </row>
    <row r="7" spans="10:15" ht="18.5" x14ac:dyDescent="0.35">
      <c r="J7" s="55"/>
      <c r="K7" s="57" t="s">
        <v>137</v>
      </c>
      <c r="L7" s="58">
        <v>208</v>
      </c>
      <c r="M7" s="59">
        <v>2485087</v>
      </c>
    </row>
    <row r="8" spans="10:15" ht="18.5" x14ac:dyDescent="0.35">
      <c r="J8" s="55"/>
      <c r="K8" s="57" t="s">
        <v>138</v>
      </c>
      <c r="L8" s="58">
        <v>92</v>
      </c>
      <c r="M8" s="59">
        <v>1614458</v>
      </c>
    </row>
    <row r="9" spans="10:15" ht="18.5" x14ac:dyDescent="0.35">
      <c r="K9" s="57" t="s">
        <v>139</v>
      </c>
      <c r="L9" s="58">
        <v>56</v>
      </c>
      <c r="M9" s="59">
        <v>1214961</v>
      </c>
      <c r="N9" s="4">
        <f>+M9+M8+M7</f>
        <v>5314506</v>
      </c>
      <c r="O9">
        <f>+N9/250000</f>
        <v>21.258023999999999</v>
      </c>
    </row>
    <row r="10" spans="10:15" ht="18.5" x14ac:dyDescent="0.35">
      <c r="K10" s="57" t="s">
        <v>140</v>
      </c>
      <c r="L10" s="58">
        <v>22</v>
      </c>
      <c r="M10" s="59">
        <v>618405</v>
      </c>
    </row>
    <row r="11" spans="10:15" ht="18.5" x14ac:dyDescent="0.35">
      <c r="K11" s="57" t="s">
        <v>142</v>
      </c>
      <c r="L11" s="58">
        <v>28</v>
      </c>
      <c r="M11" s="59">
        <v>1004800</v>
      </c>
    </row>
    <row r="12" spans="10:15" ht="18.5" x14ac:dyDescent="0.35">
      <c r="K12" s="57" t="s">
        <v>143</v>
      </c>
      <c r="L12" s="58">
        <v>23</v>
      </c>
      <c r="M12" s="59">
        <v>2296207</v>
      </c>
      <c r="N12">
        <f>+M12*0.7</f>
        <v>1607344.9</v>
      </c>
    </row>
    <row r="13" spans="10:15" ht="18.5" x14ac:dyDescent="0.35">
      <c r="K13" s="57" t="s">
        <v>69</v>
      </c>
      <c r="L13" s="58">
        <f>SUM(L5:L12)</f>
        <v>3731</v>
      </c>
      <c r="M13" s="59">
        <f>SUM(M5:M12)</f>
        <v>25847498</v>
      </c>
    </row>
    <row r="14" spans="10:15" x14ac:dyDescent="0.35">
      <c r="K14" s="54"/>
      <c r="M14" s="4">
        <f>+M13-M5-M6</f>
        <v>9233918</v>
      </c>
    </row>
    <row r="15" spans="10:15" x14ac:dyDescent="0.35">
      <c r="M15">
        <f>+M14/250000</f>
        <v>36.935671999999997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3190-2258-4B54-A879-3EA9E3AD881A}">
  <dimension ref="B3:J14"/>
  <sheetViews>
    <sheetView rightToLeft="1" workbookViewId="0">
      <selection activeCell="D5" sqref="D5"/>
    </sheetView>
  </sheetViews>
  <sheetFormatPr defaultRowHeight="14.5" x14ac:dyDescent="0.35"/>
  <cols>
    <col min="2" max="2" width="30.6328125" customWidth="1"/>
    <col min="3" max="4" width="20.7265625" customWidth="1"/>
    <col min="6" max="6" width="13.453125" bestFit="1" customWidth="1"/>
    <col min="8" max="8" width="13.453125" bestFit="1" customWidth="1"/>
    <col min="9" max="9" width="19" customWidth="1"/>
    <col min="10" max="10" width="23.6328125" customWidth="1"/>
  </cols>
  <sheetData>
    <row r="3" spans="2:10" ht="18.5" x14ac:dyDescent="0.35">
      <c r="B3" s="91" t="s">
        <v>132</v>
      </c>
      <c r="C3" s="91" t="s">
        <v>133</v>
      </c>
      <c r="D3" s="91" t="s">
        <v>134</v>
      </c>
    </row>
    <row r="4" spans="2:10" ht="25.5" customHeight="1" x14ac:dyDescent="0.35">
      <c r="B4" s="92" t="s">
        <v>135</v>
      </c>
      <c r="C4" s="93">
        <v>1861</v>
      </c>
      <c r="D4" s="94">
        <v>7272118</v>
      </c>
      <c r="E4" s="130">
        <v>0.7</v>
      </c>
      <c r="F4" s="94">
        <f>+D4*E4</f>
        <v>5090482.5999999996</v>
      </c>
      <c r="H4" s="4">
        <f>+D4-F4</f>
        <v>2181635.4000000004</v>
      </c>
    </row>
    <row r="5" spans="2:10" ht="25.5" customHeight="1" x14ac:dyDescent="0.35">
      <c r="B5" s="92" t="s">
        <v>136</v>
      </c>
      <c r="C5" s="93">
        <v>1393</v>
      </c>
      <c r="D5" s="94">
        <v>9149905</v>
      </c>
      <c r="E5" s="130">
        <v>0.4</v>
      </c>
      <c r="F5" s="94">
        <f t="shared" ref="F5:F12" si="0">+D5*E5</f>
        <v>3659962</v>
      </c>
      <c r="H5" s="4">
        <f>+D5-F5</f>
        <v>5489943</v>
      </c>
    </row>
    <row r="6" spans="2:10" ht="25.5" customHeight="1" x14ac:dyDescent="0.35">
      <c r="B6" s="92" t="s">
        <v>137</v>
      </c>
      <c r="C6" s="93">
        <v>205</v>
      </c>
      <c r="D6" s="94">
        <v>2445772</v>
      </c>
      <c r="E6" s="130">
        <v>0</v>
      </c>
      <c r="F6" s="94">
        <f t="shared" si="0"/>
        <v>0</v>
      </c>
      <c r="H6" s="4">
        <f t="shared" ref="H6:H10" si="1">+D6-F6</f>
        <v>2445772</v>
      </c>
    </row>
    <row r="7" spans="2:10" ht="25.5" customHeight="1" x14ac:dyDescent="0.35">
      <c r="B7" s="92" t="s">
        <v>138</v>
      </c>
      <c r="C7" s="93">
        <v>93</v>
      </c>
      <c r="D7" s="94">
        <v>1632410</v>
      </c>
      <c r="E7" s="130">
        <v>0</v>
      </c>
      <c r="F7" s="94">
        <f t="shared" si="0"/>
        <v>0</v>
      </c>
      <c r="H7" s="4">
        <f t="shared" si="1"/>
        <v>1632410</v>
      </c>
    </row>
    <row r="8" spans="2:10" ht="25.5" customHeight="1" x14ac:dyDescent="0.35">
      <c r="B8" s="92" t="s">
        <v>139</v>
      </c>
      <c r="C8" s="93">
        <v>55</v>
      </c>
      <c r="D8" s="94">
        <v>1191667</v>
      </c>
      <c r="E8" s="130">
        <v>0</v>
      </c>
      <c r="F8" s="94">
        <f t="shared" si="0"/>
        <v>0</v>
      </c>
      <c r="H8" s="4">
        <f t="shared" si="1"/>
        <v>1191667</v>
      </c>
    </row>
    <row r="9" spans="2:10" ht="25.5" customHeight="1" x14ac:dyDescent="0.35">
      <c r="B9" s="92" t="s">
        <v>140</v>
      </c>
      <c r="C9" s="93">
        <v>21</v>
      </c>
      <c r="D9" s="94">
        <v>588405</v>
      </c>
      <c r="E9" s="130">
        <v>0</v>
      </c>
      <c r="F9" s="94">
        <f t="shared" si="0"/>
        <v>0</v>
      </c>
      <c r="H9" s="4">
        <f t="shared" si="1"/>
        <v>588405</v>
      </c>
    </row>
    <row r="10" spans="2:10" ht="25.5" customHeight="1" x14ac:dyDescent="0.35">
      <c r="B10" s="92" t="s">
        <v>142</v>
      </c>
      <c r="C10" s="93">
        <v>29</v>
      </c>
      <c r="D10" s="94">
        <v>1034801</v>
      </c>
      <c r="E10" s="130">
        <v>0</v>
      </c>
      <c r="F10" s="94">
        <f t="shared" si="0"/>
        <v>0</v>
      </c>
      <c r="H10" s="4">
        <f t="shared" si="1"/>
        <v>1034801</v>
      </c>
    </row>
    <row r="11" spans="2:10" ht="25.5" customHeight="1" x14ac:dyDescent="0.35">
      <c r="B11" s="92" t="s">
        <v>168</v>
      </c>
      <c r="C11" s="93">
        <v>17</v>
      </c>
      <c r="D11" s="94">
        <v>1192790</v>
      </c>
      <c r="E11" s="130">
        <v>0</v>
      </c>
      <c r="F11" s="94">
        <f t="shared" si="0"/>
        <v>0</v>
      </c>
      <c r="H11" s="4"/>
    </row>
    <row r="12" spans="2:10" ht="25.5" customHeight="1" x14ac:dyDescent="0.35">
      <c r="B12" s="92" t="s">
        <v>169</v>
      </c>
      <c r="C12" s="93">
        <v>6</v>
      </c>
      <c r="D12" s="94">
        <v>1103416</v>
      </c>
      <c r="E12" s="130">
        <v>0</v>
      </c>
      <c r="F12" s="94">
        <f t="shared" si="0"/>
        <v>0</v>
      </c>
      <c r="H12" s="4"/>
    </row>
    <row r="13" spans="2:10" ht="25.5" customHeight="1" x14ac:dyDescent="0.35">
      <c r="B13" s="92" t="s">
        <v>69</v>
      </c>
      <c r="C13" s="93">
        <f>SUM(C4:C12)</f>
        <v>3680</v>
      </c>
      <c r="D13" s="94">
        <f>SUM(D4:D12)</f>
        <v>25611284</v>
      </c>
      <c r="F13" s="94">
        <f>SUM(F4:F12)</f>
        <v>8750444.5999999996</v>
      </c>
      <c r="H13" s="94">
        <f>SUM(H4:H12)</f>
        <v>14564633.4</v>
      </c>
      <c r="I13" s="94" t="e">
        <f>+#REF!</f>
        <v>#REF!</v>
      </c>
    </row>
    <row r="14" spans="2:10" ht="29" x14ac:dyDescent="0.35">
      <c r="I14" s="133" t="e">
        <f>+H13-I13</f>
        <v>#REF!</v>
      </c>
      <c r="J14" s="134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FD55-9243-43B1-8030-251F330418FC}">
  <dimension ref="B3:J25"/>
  <sheetViews>
    <sheetView rightToLeft="1" workbookViewId="0">
      <selection activeCell="D8" sqref="D8"/>
    </sheetView>
  </sheetViews>
  <sheetFormatPr defaultRowHeight="14.5" x14ac:dyDescent="0.35"/>
  <cols>
    <col min="2" max="2" width="30.6328125" customWidth="1"/>
    <col min="3" max="4" width="20.7265625" customWidth="1"/>
    <col min="6" max="6" width="13.453125" bestFit="1" customWidth="1"/>
    <col min="8" max="9" width="9.453125" customWidth="1"/>
    <col min="10" max="10" width="23.6328125" customWidth="1"/>
  </cols>
  <sheetData>
    <row r="3" spans="2:10" ht="18.5" x14ac:dyDescent="0.35">
      <c r="B3" s="91" t="s">
        <v>132</v>
      </c>
      <c r="C3" s="91" t="s">
        <v>133</v>
      </c>
      <c r="D3" s="91" t="s">
        <v>134</v>
      </c>
      <c r="H3" s="175" t="s">
        <v>241</v>
      </c>
      <c r="I3" s="175" t="s">
        <v>242</v>
      </c>
    </row>
    <row r="4" spans="2:10" ht="25.5" customHeight="1" x14ac:dyDescent="0.35">
      <c r="B4" s="92" t="s">
        <v>135</v>
      </c>
      <c r="C4" s="93">
        <v>1905</v>
      </c>
      <c r="D4" s="94">
        <v>7022507</v>
      </c>
      <c r="E4" s="130">
        <v>0</v>
      </c>
      <c r="F4" s="94">
        <f>+D4*E4</f>
        <v>0</v>
      </c>
      <c r="H4" s="174">
        <f>+C4/$C$13</f>
        <v>0.53436185133239833</v>
      </c>
      <c r="I4" s="174">
        <f>+D4/$D$13</f>
        <v>0.29183594485205855</v>
      </c>
    </row>
    <row r="5" spans="2:10" ht="25.5" customHeight="1" x14ac:dyDescent="0.35">
      <c r="B5" s="92" t="s">
        <v>136</v>
      </c>
      <c r="C5" s="93">
        <v>1258</v>
      </c>
      <c r="D5" s="94">
        <v>8380877</v>
      </c>
      <c r="E5" s="130">
        <v>1</v>
      </c>
      <c r="F5" s="94">
        <f t="shared" ref="F5:F12" si="0">+D5*E5</f>
        <v>8380877</v>
      </c>
      <c r="H5" s="174">
        <f t="shared" ref="H5:H13" si="1">+C5/$C$13</f>
        <v>0.352875175315568</v>
      </c>
      <c r="I5" s="174">
        <f t="shared" ref="I5:I13" si="2">+D5/$D$13</f>
        <v>0.34828604058121776</v>
      </c>
    </row>
    <row r="6" spans="2:10" ht="25.5" customHeight="1" x14ac:dyDescent="0.35">
      <c r="B6" s="92" t="s">
        <v>137</v>
      </c>
      <c r="C6" s="93">
        <v>200</v>
      </c>
      <c r="D6" s="94">
        <v>2396334</v>
      </c>
      <c r="E6" s="130">
        <v>0</v>
      </c>
      <c r="F6" s="94">
        <f t="shared" si="0"/>
        <v>0</v>
      </c>
      <c r="H6" s="174">
        <f t="shared" si="1"/>
        <v>5.6100981767180924E-2</v>
      </c>
      <c r="I6" s="174">
        <f t="shared" si="2"/>
        <v>9.9585005336571802E-2</v>
      </c>
    </row>
    <row r="7" spans="2:10" ht="25.5" customHeight="1" x14ac:dyDescent="0.35">
      <c r="B7" s="92" t="s">
        <v>138</v>
      </c>
      <c r="C7" s="93">
        <v>91</v>
      </c>
      <c r="D7" s="94">
        <v>1593161</v>
      </c>
      <c r="E7" s="130">
        <v>0</v>
      </c>
      <c r="F7" s="94">
        <f t="shared" si="0"/>
        <v>0</v>
      </c>
      <c r="H7" s="174">
        <f t="shared" si="1"/>
        <v>2.5525946704067323E-2</v>
      </c>
      <c r="I7" s="174">
        <f t="shared" si="2"/>
        <v>6.6207359527936452E-2</v>
      </c>
    </row>
    <row r="8" spans="2:10" ht="25.5" customHeight="1" x14ac:dyDescent="0.35">
      <c r="B8" s="92" t="s">
        <v>139</v>
      </c>
      <c r="C8" s="93">
        <v>40</v>
      </c>
      <c r="D8" s="94">
        <v>872832</v>
      </c>
      <c r="E8" s="130">
        <v>0</v>
      </c>
      <c r="F8" s="94">
        <f t="shared" si="0"/>
        <v>0</v>
      </c>
      <c r="H8" s="174">
        <f t="shared" si="1"/>
        <v>1.1220196353436185E-2</v>
      </c>
      <c r="I8" s="174">
        <f t="shared" si="2"/>
        <v>3.6272480955463905E-2</v>
      </c>
    </row>
    <row r="9" spans="2:10" ht="25.5" customHeight="1" x14ac:dyDescent="0.35">
      <c r="B9" s="92" t="s">
        <v>140</v>
      </c>
      <c r="C9" s="93">
        <v>21</v>
      </c>
      <c r="D9" s="94">
        <v>584564</v>
      </c>
      <c r="E9" s="130">
        <v>0</v>
      </c>
      <c r="F9" s="94">
        <f t="shared" si="0"/>
        <v>0</v>
      </c>
      <c r="H9" s="174">
        <f t="shared" si="1"/>
        <v>5.8906030855539974E-3</v>
      </c>
      <c r="I9" s="174">
        <f t="shared" si="2"/>
        <v>2.4292861120180975E-2</v>
      </c>
    </row>
    <row r="10" spans="2:10" ht="25.5" customHeight="1" x14ac:dyDescent="0.35">
      <c r="B10" s="92" t="s">
        <v>142</v>
      </c>
      <c r="C10" s="93">
        <v>28</v>
      </c>
      <c r="D10" s="94">
        <v>983445</v>
      </c>
      <c r="E10" s="130">
        <v>0</v>
      </c>
      <c r="F10" s="94">
        <f t="shared" si="0"/>
        <v>0</v>
      </c>
      <c r="H10" s="174">
        <f t="shared" si="1"/>
        <v>7.8541374474053304E-3</v>
      </c>
      <c r="I10" s="174">
        <f t="shared" si="2"/>
        <v>4.0869250936315583E-2</v>
      </c>
    </row>
    <row r="11" spans="2:10" ht="25.5" customHeight="1" x14ac:dyDescent="0.35">
      <c r="B11" s="92" t="s">
        <v>168</v>
      </c>
      <c r="C11" s="93">
        <v>16</v>
      </c>
      <c r="D11" s="94">
        <v>1127187</v>
      </c>
      <c r="E11" s="130">
        <v>0</v>
      </c>
      <c r="F11" s="94">
        <f t="shared" si="0"/>
        <v>0</v>
      </c>
      <c r="H11" s="174">
        <f t="shared" si="1"/>
        <v>4.4880785413744743E-3</v>
      </c>
      <c r="I11" s="174">
        <f t="shared" si="2"/>
        <v>4.6842770419446692E-2</v>
      </c>
    </row>
    <row r="12" spans="2:10" ht="25.5" customHeight="1" x14ac:dyDescent="0.35">
      <c r="B12" s="92" t="s">
        <v>169</v>
      </c>
      <c r="C12" s="93">
        <v>6</v>
      </c>
      <c r="D12" s="94">
        <v>1102294</v>
      </c>
      <c r="E12" s="130">
        <v>0</v>
      </c>
      <c r="F12" s="94">
        <f t="shared" si="0"/>
        <v>0</v>
      </c>
      <c r="H12" s="174">
        <f t="shared" si="1"/>
        <v>1.6830294530154279E-3</v>
      </c>
      <c r="I12" s="174">
        <f t="shared" si="2"/>
        <v>4.5808286270808275E-2</v>
      </c>
    </row>
    <row r="13" spans="2:10" ht="25.5" customHeight="1" x14ac:dyDescent="0.35">
      <c r="B13" s="92" t="s">
        <v>69</v>
      </c>
      <c r="C13" s="93">
        <f>SUM(C4:C12)</f>
        <v>3565</v>
      </c>
      <c r="D13" s="94">
        <f>SUM(D4:D12)</f>
        <v>24063201</v>
      </c>
      <c r="F13" s="94">
        <f>SUM(F4:F12)</f>
        <v>8380877</v>
      </c>
      <c r="H13" s="174">
        <f t="shared" si="1"/>
        <v>1</v>
      </c>
      <c r="I13" s="174">
        <f t="shared" si="2"/>
        <v>1</v>
      </c>
    </row>
    <row r="14" spans="2:10" x14ac:dyDescent="0.35">
      <c r="H14" s="174"/>
      <c r="I14" s="133"/>
      <c r="J14" s="134"/>
    </row>
    <row r="18" spans="2:9" ht="18.5" x14ac:dyDescent="0.35">
      <c r="B18" s="91" t="s">
        <v>132</v>
      </c>
      <c r="C18" s="91" t="s">
        <v>133</v>
      </c>
      <c r="D18" s="91" t="s">
        <v>134</v>
      </c>
      <c r="H18" t="s">
        <v>241</v>
      </c>
      <c r="I18" t="s">
        <v>242</v>
      </c>
    </row>
    <row r="19" spans="2:9" ht="18.5" x14ac:dyDescent="0.35">
      <c r="B19" s="92" t="s">
        <v>229</v>
      </c>
      <c r="C19" s="93">
        <v>480</v>
      </c>
      <c r="D19" s="94">
        <v>2636677</v>
      </c>
      <c r="E19" s="130">
        <v>1</v>
      </c>
      <c r="F19" s="94">
        <f>+D19*E19</f>
        <v>2636677</v>
      </c>
      <c r="H19" s="174">
        <f>+C19/$C$13</f>
        <v>0.13464235624123422</v>
      </c>
      <c r="I19" s="174">
        <f>+D19/$D$13</f>
        <v>0.1095729948812712</v>
      </c>
    </row>
    <row r="20" spans="2:9" ht="18.5" x14ac:dyDescent="0.35">
      <c r="B20" s="92" t="s">
        <v>230</v>
      </c>
      <c r="C20" s="93">
        <v>366</v>
      </c>
      <c r="D20" s="94">
        <v>2379215</v>
      </c>
      <c r="E20" s="130">
        <v>0</v>
      </c>
      <c r="F20" s="94">
        <f t="shared" ref="F20:F23" si="3">+D20*E20</f>
        <v>0</v>
      </c>
      <c r="H20" s="174">
        <f t="shared" ref="H20:H24" si="4">+C20/$C$13</f>
        <v>0.1026647966339411</v>
      </c>
      <c r="I20" s="174">
        <f t="shared" ref="I20:I24" si="5">+D20/$D$13</f>
        <v>9.8873587100901494E-2</v>
      </c>
    </row>
    <row r="21" spans="2:9" ht="18.5" x14ac:dyDescent="0.35">
      <c r="B21" s="92" t="s">
        <v>231</v>
      </c>
      <c r="C21" s="93">
        <v>207</v>
      </c>
      <c r="D21" s="94">
        <v>1538277</v>
      </c>
      <c r="E21" s="130">
        <v>0</v>
      </c>
      <c r="F21" s="94">
        <f t="shared" si="3"/>
        <v>0</v>
      </c>
      <c r="H21" s="174">
        <f t="shared" si="4"/>
        <v>5.8064516129032261E-2</v>
      </c>
      <c r="I21" s="174">
        <f t="shared" si="5"/>
        <v>6.3926532467563232E-2</v>
      </c>
    </row>
    <row r="22" spans="2:9" ht="18.5" x14ac:dyDescent="0.35">
      <c r="B22" s="92" t="s">
        <v>232</v>
      </c>
      <c r="C22" s="93">
        <v>113</v>
      </c>
      <c r="D22" s="94">
        <v>956203</v>
      </c>
      <c r="E22" s="130">
        <v>0</v>
      </c>
      <c r="F22" s="94">
        <f t="shared" si="3"/>
        <v>0</v>
      </c>
      <c r="H22" s="174">
        <f t="shared" si="4"/>
        <v>3.1697054698457225E-2</v>
      </c>
      <c r="I22" s="174">
        <f t="shared" si="5"/>
        <v>3.9737148852307717E-2</v>
      </c>
    </row>
    <row r="23" spans="2:9" ht="18.5" x14ac:dyDescent="0.35">
      <c r="B23" s="92" t="s">
        <v>233</v>
      </c>
      <c r="C23" s="93">
        <v>92</v>
      </c>
      <c r="D23" s="94">
        <v>870504</v>
      </c>
      <c r="E23" s="130">
        <v>0</v>
      </c>
      <c r="F23" s="94">
        <f t="shared" si="3"/>
        <v>0</v>
      </c>
      <c r="H23" s="174">
        <f t="shared" si="4"/>
        <v>2.5806451612903226E-2</v>
      </c>
      <c r="I23" s="174">
        <f t="shared" si="5"/>
        <v>3.6175735721943228E-2</v>
      </c>
    </row>
    <row r="24" spans="2:9" ht="18.5" x14ac:dyDescent="0.35">
      <c r="B24" s="92" t="s">
        <v>69</v>
      </c>
      <c r="C24" s="93">
        <f>SUM(C19:C23)</f>
        <v>1258</v>
      </c>
      <c r="D24" s="94">
        <f>SUM(D19:D23)</f>
        <v>8380876</v>
      </c>
      <c r="F24" s="94">
        <f>SUM(F19:F23)</f>
        <v>2636677</v>
      </c>
      <c r="H24" s="174">
        <f t="shared" si="4"/>
        <v>0.352875175315568</v>
      </c>
      <c r="I24" s="174">
        <f t="shared" si="5"/>
        <v>0.34828599902398688</v>
      </c>
    </row>
    <row r="25" spans="2:9" x14ac:dyDescent="0.35">
      <c r="C25">
        <f>+C24-C5</f>
        <v>0</v>
      </c>
      <c r="D25">
        <f>+D24-D5</f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5A23-89A1-456C-A80C-0322F69CB9E6}">
  <dimension ref="B3:I25"/>
  <sheetViews>
    <sheetView rightToLeft="1" topLeftCell="A4" workbookViewId="0">
      <selection activeCell="F8" sqref="F8"/>
    </sheetView>
  </sheetViews>
  <sheetFormatPr defaultRowHeight="14.5" x14ac:dyDescent="0.35"/>
  <cols>
    <col min="2" max="2" width="30.6328125" customWidth="1"/>
    <col min="3" max="4" width="20.7265625" customWidth="1"/>
    <col min="6" max="6" width="13.453125" bestFit="1" customWidth="1"/>
  </cols>
  <sheetData>
    <row r="3" spans="2:9" ht="18.5" x14ac:dyDescent="0.35">
      <c r="B3" s="91" t="s">
        <v>132</v>
      </c>
      <c r="C3" s="91" t="s">
        <v>133</v>
      </c>
      <c r="D3" s="91" t="s">
        <v>134</v>
      </c>
      <c r="H3" s="175" t="s">
        <v>241</v>
      </c>
      <c r="I3" s="175" t="s">
        <v>242</v>
      </c>
    </row>
    <row r="4" spans="2:9" ht="25.5" customHeight="1" x14ac:dyDescent="0.35">
      <c r="B4" s="92" t="s">
        <v>135</v>
      </c>
      <c r="C4" s="93">
        <v>372</v>
      </c>
      <c r="D4" s="94">
        <v>1420211</v>
      </c>
      <c r="E4" s="130">
        <v>0</v>
      </c>
      <c r="F4" s="94">
        <f>+D4*E4</f>
        <v>0</v>
      </c>
      <c r="H4" s="174">
        <f>+C4/$C$13</f>
        <v>0.33066666666666666</v>
      </c>
      <c r="I4" s="174">
        <f>+D4/$D$13</f>
        <v>0.1547071311679078</v>
      </c>
    </row>
    <row r="5" spans="2:9" ht="25.5" customHeight="1" x14ac:dyDescent="0.35">
      <c r="B5" s="92" t="s">
        <v>136</v>
      </c>
      <c r="C5" s="93">
        <v>603</v>
      </c>
      <c r="D5" s="94">
        <v>3962276</v>
      </c>
      <c r="E5" s="130">
        <v>0</v>
      </c>
      <c r="F5" s="94">
        <f t="shared" ref="F5:F12" si="0">+D5*E5</f>
        <v>0</v>
      </c>
      <c r="H5" s="174">
        <f t="shared" ref="H5:H13" si="1">+C5/$C$13</f>
        <v>0.53600000000000003</v>
      </c>
      <c r="I5" s="174">
        <f t="shared" ref="I5:I13" si="2">+D5/$D$13</f>
        <v>0.43162062035532256</v>
      </c>
    </row>
    <row r="6" spans="2:9" ht="25.5" customHeight="1" x14ac:dyDescent="0.35">
      <c r="B6" s="92" t="s">
        <v>137</v>
      </c>
      <c r="C6" s="93">
        <v>84</v>
      </c>
      <c r="D6" s="94">
        <v>1020718</v>
      </c>
      <c r="E6" s="130">
        <v>1</v>
      </c>
      <c r="F6" s="94">
        <v>0</v>
      </c>
      <c r="H6" s="174">
        <f t="shared" si="1"/>
        <v>7.4666666666666673E-2</v>
      </c>
      <c r="I6" s="174">
        <f t="shared" si="2"/>
        <v>0.11118936095512885</v>
      </c>
    </row>
    <row r="7" spans="2:9" ht="25.5" customHeight="1" x14ac:dyDescent="0.35">
      <c r="B7" s="92" t="s">
        <v>138</v>
      </c>
      <c r="C7" s="93">
        <v>25</v>
      </c>
      <c r="D7" s="94">
        <v>419937</v>
      </c>
      <c r="E7" s="130">
        <v>1</v>
      </c>
      <c r="F7" s="94">
        <v>0</v>
      </c>
      <c r="H7" s="174">
        <f t="shared" si="1"/>
        <v>2.2222222222222223E-2</v>
      </c>
      <c r="I7" s="174">
        <f t="shared" si="2"/>
        <v>4.5744786191106598E-2</v>
      </c>
    </row>
    <row r="8" spans="2:9" ht="25.5" customHeight="1" x14ac:dyDescent="0.35">
      <c r="B8" s="92" t="s">
        <v>139</v>
      </c>
      <c r="C8" s="93">
        <v>11</v>
      </c>
      <c r="D8" s="94">
        <v>235314</v>
      </c>
      <c r="E8" s="130">
        <v>0</v>
      </c>
      <c r="F8" s="94">
        <f t="shared" si="0"/>
        <v>0</v>
      </c>
      <c r="H8" s="174">
        <f t="shared" si="1"/>
        <v>9.7777777777777776E-3</v>
      </c>
      <c r="I8" s="174">
        <f t="shared" si="2"/>
        <v>2.563334171024239E-2</v>
      </c>
    </row>
    <row r="9" spans="2:9" ht="25.5" customHeight="1" x14ac:dyDescent="0.35">
      <c r="B9" s="92" t="s">
        <v>140</v>
      </c>
      <c r="C9" s="93">
        <v>5</v>
      </c>
      <c r="D9" s="94">
        <v>137368</v>
      </c>
      <c r="E9" s="130">
        <v>0</v>
      </c>
      <c r="F9" s="94">
        <f t="shared" si="0"/>
        <v>0</v>
      </c>
      <c r="H9" s="174">
        <f t="shared" si="1"/>
        <v>4.4444444444444444E-3</v>
      </c>
      <c r="I9" s="174">
        <f t="shared" si="2"/>
        <v>1.4963839312801519E-2</v>
      </c>
    </row>
    <row r="10" spans="2:9" ht="25.5" customHeight="1" x14ac:dyDescent="0.35">
      <c r="B10" s="92" t="s">
        <v>142</v>
      </c>
      <c r="C10" s="93">
        <v>9</v>
      </c>
      <c r="D10" s="94">
        <v>319859</v>
      </c>
      <c r="E10" s="130">
        <v>0</v>
      </c>
      <c r="F10" s="94">
        <f t="shared" si="0"/>
        <v>0</v>
      </c>
      <c r="H10" s="174">
        <f t="shared" si="1"/>
        <v>8.0000000000000002E-3</v>
      </c>
      <c r="I10" s="174">
        <f t="shared" si="2"/>
        <v>3.484303970905437E-2</v>
      </c>
    </row>
    <row r="11" spans="2:9" ht="25.5" customHeight="1" x14ac:dyDescent="0.35">
      <c r="B11" s="92" t="s">
        <v>168</v>
      </c>
      <c r="C11" s="93">
        <v>12</v>
      </c>
      <c r="D11" s="94">
        <v>789313</v>
      </c>
      <c r="E11" s="130">
        <v>0</v>
      </c>
      <c r="F11" s="94">
        <f t="shared" si="0"/>
        <v>0</v>
      </c>
      <c r="H11" s="174">
        <f t="shared" si="1"/>
        <v>1.0666666666666666E-2</v>
      </c>
      <c r="I11" s="174">
        <f t="shared" si="2"/>
        <v>8.5981836377506435E-2</v>
      </c>
    </row>
    <row r="12" spans="2:9" ht="25.5" customHeight="1" x14ac:dyDescent="0.35">
      <c r="B12" s="92" t="s">
        <v>169</v>
      </c>
      <c r="C12" s="93">
        <v>4</v>
      </c>
      <c r="D12" s="94">
        <v>875001</v>
      </c>
      <c r="E12" s="130">
        <v>0</v>
      </c>
      <c r="F12" s="94">
        <f t="shared" si="0"/>
        <v>0</v>
      </c>
      <c r="H12" s="174">
        <f t="shared" si="1"/>
        <v>3.5555555555555557E-3</v>
      </c>
      <c r="I12" s="174">
        <f t="shared" si="2"/>
        <v>9.5316044220929486E-2</v>
      </c>
    </row>
    <row r="13" spans="2:9" ht="25.5" customHeight="1" x14ac:dyDescent="0.35">
      <c r="B13" s="92" t="s">
        <v>69</v>
      </c>
      <c r="C13" s="93">
        <f>SUM(C4:C12)</f>
        <v>1125</v>
      </c>
      <c r="D13" s="94">
        <f>SUM(D4:D12)</f>
        <v>9179997</v>
      </c>
      <c r="F13" s="94">
        <f>SUM(F4:F12)</f>
        <v>0</v>
      </c>
      <c r="H13" s="174">
        <f t="shared" si="1"/>
        <v>1</v>
      </c>
      <c r="I13" s="174">
        <f t="shared" si="2"/>
        <v>1</v>
      </c>
    </row>
    <row r="14" spans="2:9" x14ac:dyDescent="0.35">
      <c r="H14" s="174"/>
      <c r="I14" s="133"/>
    </row>
    <row r="18" spans="2:9" ht="18.5" x14ac:dyDescent="0.35">
      <c r="B18" s="91" t="s">
        <v>132</v>
      </c>
      <c r="C18" s="91" t="s">
        <v>133</v>
      </c>
      <c r="D18" s="91" t="s">
        <v>134</v>
      </c>
      <c r="H18" t="s">
        <v>241</v>
      </c>
      <c r="I18" t="s">
        <v>242</v>
      </c>
    </row>
    <row r="19" spans="2:9" ht="18.5" x14ac:dyDescent="0.35">
      <c r="B19" s="92" t="s">
        <v>229</v>
      </c>
      <c r="C19" s="93">
        <v>222</v>
      </c>
      <c r="D19" s="94">
        <v>1204946</v>
      </c>
      <c r="E19" s="130">
        <v>1</v>
      </c>
      <c r="F19" s="94">
        <f>+D19*E19</f>
        <v>1204946</v>
      </c>
      <c r="H19" s="174">
        <f>+C19/$C$13</f>
        <v>0.19733333333333333</v>
      </c>
      <c r="I19" s="174">
        <f>+D19/$D$13</f>
        <v>0.13125777709949144</v>
      </c>
    </row>
    <row r="20" spans="2:9" ht="18.5" x14ac:dyDescent="0.35">
      <c r="B20" s="92" t="s">
        <v>230</v>
      </c>
      <c r="C20" s="93">
        <v>197</v>
      </c>
      <c r="D20" s="94">
        <v>1271912</v>
      </c>
      <c r="E20" s="130">
        <v>0</v>
      </c>
      <c r="F20" s="94">
        <f t="shared" ref="F20:F23" si="3">+D20*E20</f>
        <v>0</v>
      </c>
      <c r="H20" s="174">
        <f t="shared" ref="H20:H24" si="4">+C20/$C$13</f>
        <v>0.17511111111111111</v>
      </c>
      <c r="I20" s="174">
        <f t="shared" ref="I20:I24" si="5">+D20/$D$13</f>
        <v>0.13855255072523445</v>
      </c>
    </row>
    <row r="21" spans="2:9" ht="18.5" x14ac:dyDescent="0.35">
      <c r="B21" s="92" t="s">
        <v>231</v>
      </c>
      <c r="C21" s="93">
        <v>105</v>
      </c>
      <c r="D21" s="94">
        <v>781670</v>
      </c>
      <c r="E21" s="130">
        <v>0</v>
      </c>
      <c r="F21" s="94">
        <f t="shared" si="3"/>
        <v>0</v>
      </c>
      <c r="H21" s="174">
        <f t="shared" si="4"/>
        <v>9.3333333333333338E-2</v>
      </c>
      <c r="I21" s="174">
        <f t="shared" si="5"/>
        <v>8.5149265299324178E-2</v>
      </c>
    </row>
    <row r="22" spans="2:9" ht="18.5" x14ac:dyDescent="0.35">
      <c r="B22" s="92" t="s">
        <v>232</v>
      </c>
      <c r="C22" s="93">
        <v>45</v>
      </c>
      <c r="D22" s="94">
        <v>380071</v>
      </c>
      <c r="E22" s="130">
        <v>0</v>
      </c>
      <c r="F22" s="94">
        <f t="shared" si="3"/>
        <v>0</v>
      </c>
      <c r="H22" s="174">
        <f t="shared" si="4"/>
        <v>0.04</v>
      </c>
      <c r="I22" s="174">
        <f t="shared" si="5"/>
        <v>4.1402083246868164E-2</v>
      </c>
    </row>
    <row r="23" spans="2:9" ht="18.5" x14ac:dyDescent="0.35">
      <c r="B23" s="92" t="s">
        <v>233</v>
      </c>
      <c r="C23" s="93">
        <v>34</v>
      </c>
      <c r="D23" s="94">
        <v>323677</v>
      </c>
      <c r="E23" s="130">
        <v>0</v>
      </c>
      <c r="F23" s="94">
        <f t="shared" si="3"/>
        <v>0</v>
      </c>
      <c r="H23" s="174">
        <f t="shared" si="4"/>
        <v>3.0222222222222223E-2</v>
      </c>
      <c r="I23" s="174">
        <f t="shared" si="5"/>
        <v>3.5258943984404351E-2</v>
      </c>
    </row>
    <row r="24" spans="2:9" ht="18.5" x14ac:dyDescent="0.35">
      <c r="B24" s="92" t="s">
        <v>69</v>
      </c>
      <c r="C24" s="93">
        <f>SUM(C19:C23)</f>
        <v>603</v>
      </c>
      <c r="D24" s="94">
        <f>SUM(D19:D23)</f>
        <v>3962276</v>
      </c>
      <c r="F24" s="94">
        <f>SUM(F19:F23)</f>
        <v>1204946</v>
      </c>
      <c r="H24" s="174">
        <f t="shared" si="4"/>
        <v>0.53600000000000003</v>
      </c>
      <c r="I24" s="174">
        <f t="shared" si="5"/>
        <v>0.43162062035532256</v>
      </c>
    </row>
    <row r="25" spans="2:9" x14ac:dyDescent="0.35">
      <c r="C25">
        <f>+C24-C5</f>
        <v>0</v>
      </c>
      <c r="D25">
        <f>+D24-D5</f>
        <v>0</v>
      </c>
      <c r="H25" s="130">
        <f>+H24-H5</f>
        <v>0</v>
      </c>
      <c r="I25" s="130">
        <f>+I24-I5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3A7C-3747-4285-9ED3-5D83637CA776}">
  <dimension ref="B3:J25"/>
  <sheetViews>
    <sheetView rightToLeft="1" workbookViewId="0">
      <selection activeCell="J23" sqref="J23"/>
    </sheetView>
  </sheetViews>
  <sheetFormatPr defaultRowHeight="14.5" x14ac:dyDescent="0.35"/>
  <cols>
    <col min="2" max="2" width="30.6328125" customWidth="1"/>
    <col min="3" max="4" width="20.7265625" customWidth="1"/>
    <col min="6" max="6" width="13.453125" bestFit="1" customWidth="1"/>
    <col min="10" max="10" width="23.6328125" customWidth="1"/>
  </cols>
  <sheetData>
    <row r="3" spans="2:10" ht="18.5" x14ac:dyDescent="0.35">
      <c r="B3" s="91" t="s">
        <v>132</v>
      </c>
      <c r="C3" s="91" t="s">
        <v>133</v>
      </c>
      <c r="D3" s="91" t="s">
        <v>134</v>
      </c>
      <c r="H3" s="175" t="s">
        <v>241</v>
      </c>
      <c r="I3" s="175" t="s">
        <v>242</v>
      </c>
    </row>
    <row r="4" spans="2:10" ht="25.5" customHeight="1" x14ac:dyDescent="0.35">
      <c r="B4" s="92" t="s">
        <v>227</v>
      </c>
      <c r="C4" s="93">
        <v>273</v>
      </c>
      <c r="D4" s="94">
        <v>1079149.6000000001</v>
      </c>
      <c r="E4" s="130">
        <v>0</v>
      </c>
      <c r="F4" s="94">
        <f>+D4*E4</f>
        <v>0</v>
      </c>
      <c r="H4" s="174">
        <f>+C4/$C$13</f>
        <v>0.37759336099585061</v>
      </c>
      <c r="I4" s="174">
        <f>+D4/$D$13</f>
        <v>0.16959320239663891</v>
      </c>
    </row>
    <row r="5" spans="2:10" ht="25.5" customHeight="1" x14ac:dyDescent="0.35">
      <c r="B5" s="92" t="s">
        <v>136</v>
      </c>
      <c r="C5" s="93">
        <v>320</v>
      </c>
      <c r="D5" s="94">
        <v>2127258</v>
      </c>
      <c r="E5" s="130">
        <v>1</v>
      </c>
      <c r="F5" s="94">
        <f t="shared" ref="F5:F12" si="0">+D5*E5</f>
        <v>2127258</v>
      </c>
      <c r="H5" s="174">
        <f t="shared" ref="H5:H13" si="1">+C5/$C$13</f>
        <v>0.44260027662517287</v>
      </c>
      <c r="I5" s="174">
        <f t="shared" ref="I5:I13" si="2">+D5/$D$13</f>
        <v>0.33430814091379846</v>
      </c>
    </row>
    <row r="6" spans="2:10" ht="25.5" customHeight="1" x14ac:dyDescent="0.35">
      <c r="B6" s="140" t="s">
        <v>137</v>
      </c>
      <c r="C6" s="93">
        <v>51</v>
      </c>
      <c r="D6" s="94">
        <v>611213</v>
      </c>
      <c r="E6" s="130">
        <v>0</v>
      </c>
      <c r="F6" s="94">
        <f t="shared" si="0"/>
        <v>0</v>
      </c>
      <c r="H6" s="174">
        <f t="shared" si="1"/>
        <v>7.0539419087136929E-2</v>
      </c>
      <c r="I6" s="174">
        <f t="shared" si="2"/>
        <v>9.6054865809575285E-2</v>
      </c>
    </row>
    <row r="7" spans="2:10" ht="25.5" customHeight="1" x14ac:dyDescent="0.35">
      <c r="B7" s="140" t="s">
        <v>138</v>
      </c>
      <c r="C7" s="93">
        <v>25</v>
      </c>
      <c r="D7" s="94">
        <v>427790</v>
      </c>
      <c r="E7" s="130">
        <v>0</v>
      </c>
      <c r="F7" s="94">
        <f t="shared" si="0"/>
        <v>0</v>
      </c>
      <c r="H7" s="174">
        <f t="shared" si="1"/>
        <v>3.4578146611341634E-2</v>
      </c>
      <c r="I7" s="174">
        <f t="shared" si="2"/>
        <v>6.7229118236487459E-2</v>
      </c>
    </row>
    <row r="8" spans="2:10" ht="25.5" customHeight="1" x14ac:dyDescent="0.35">
      <c r="B8" s="140" t="s">
        <v>139</v>
      </c>
      <c r="C8" s="93">
        <v>13</v>
      </c>
      <c r="D8" s="94">
        <v>292165</v>
      </c>
      <c r="E8" s="130">
        <v>0</v>
      </c>
      <c r="F8" s="94">
        <f t="shared" si="0"/>
        <v>0</v>
      </c>
      <c r="H8" s="174">
        <f t="shared" si="1"/>
        <v>1.7980636237897647E-2</v>
      </c>
      <c r="I8" s="174">
        <f t="shared" si="2"/>
        <v>4.5915040860149511E-2</v>
      </c>
    </row>
    <row r="9" spans="2:10" ht="25.5" customHeight="1" x14ac:dyDescent="0.35">
      <c r="B9" s="140" t="s">
        <v>140</v>
      </c>
      <c r="C9" s="93">
        <v>13</v>
      </c>
      <c r="D9" s="94">
        <v>354514.26789499988</v>
      </c>
      <c r="E9" s="130">
        <v>0</v>
      </c>
      <c r="F9" s="94">
        <f t="shared" si="0"/>
        <v>0</v>
      </c>
      <c r="H9" s="174">
        <f t="shared" si="1"/>
        <v>1.7980636237897647E-2</v>
      </c>
      <c r="I9" s="174">
        <f t="shared" si="2"/>
        <v>5.5713508106395047E-2</v>
      </c>
    </row>
    <row r="10" spans="2:10" ht="25.5" customHeight="1" x14ac:dyDescent="0.35">
      <c r="B10" s="140" t="s">
        <v>142</v>
      </c>
      <c r="C10" s="93">
        <v>22</v>
      </c>
      <c r="D10" s="94">
        <v>853510.54645999975</v>
      </c>
      <c r="E10" s="130">
        <v>0</v>
      </c>
      <c r="F10" s="94">
        <f t="shared" si="0"/>
        <v>0</v>
      </c>
      <c r="H10" s="174">
        <f t="shared" si="1"/>
        <v>3.0428769017980636E-2</v>
      </c>
      <c r="I10" s="174">
        <f t="shared" si="2"/>
        <v>0.13413301256235149</v>
      </c>
    </row>
    <row r="11" spans="2:10" ht="25.5" customHeight="1" x14ac:dyDescent="0.35">
      <c r="B11" s="140" t="s">
        <v>168</v>
      </c>
      <c r="C11" s="93">
        <v>4</v>
      </c>
      <c r="D11" s="94">
        <v>277408</v>
      </c>
      <c r="E11" s="130">
        <v>0</v>
      </c>
      <c r="F11" s="94">
        <f t="shared" si="0"/>
        <v>0</v>
      </c>
      <c r="H11" s="174">
        <f t="shared" si="1"/>
        <v>5.5325034578146614E-3</v>
      </c>
      <c r="I11" s="174">
        <f t="shared" si="2"/>
        <v>4.3595912087116377E-2</v>
      </c>
    </row>
    <row r="12" spans="2:10" ht="25.5" customHeight="1" x14ac:dyDescent="0.35">
      <c r="B12" s="140" t="s">
        <v>169</v>
      </c>
      <c r="C12" s="93">
        <v>2</v>
      </c>
      <c r="D12" s="94">
        <v>340157</v>
      </c>
      <c r="E12" s="130">
        <v>0</v>
      </c>
      <c r="F12" s="94">
        <f t="shared" si="0"/>
        <v>0</v>
      </c>
      <c r="H12" s="174">
        <f t="shared" si="1"/>
        <v>2.7662517289073307E-3</v>
      </c>
      <c r="I12" s="174">
        <f t="shared" si="2"/>
        <v>5.3457199027487474E-2</v>
      </c>
    </row>
    <row r="13" spans="2:10" ht="25.5" customHeight="1" x14ac:dyDescent="0.35">
      <c r="B13" s="92" t="s">
        <v>69</v>
      </c>
      <c r="C13" s="93">
        <f>SUM(C4:C12)</f>
        <v>723</v>
      </c>
      <c r="D13" s="94">
        <f>SUM(D4:D12)</f>
        <v>6363165.4143549995</v>
      </c>
      <c r="F13" s="94">
        <f>SUM(F4:F12)</f>
        <v>2127258</v>
      </c>
      <c r="H13" s="174">
        <f t="shared" si="1"/>
        <v>1</v>
      </c>
      <c r="I13" s="174">
        <f t="shared" si="2"/>
        <v>1</v>
      </c>
    </row>
    <row r="14" spans="2:10" ht="29" x14ac:dyDescent="0.35">
      <c r="D14" s="4"/>
      <c r="H14" s="174"/>
      <c r="I14" s="133"/>
      <c r="J14" s="134" t="s">
        <v>220</v>
      </c>
    </row>
    <row r="18" spans="2:10" ht="18.5" x14ac:dyDescent="0.35">
      <c r="B18" s="91" t="s">
        <v>132</v>
      </c>
      <c r="C18" s="91" t="s">
        <v>133</v>
      </c>
      <c r="D18" s="91" t="s">
        <v>134</v>
      </c>
      <c r="H18" t="s">
        <v>241</v>
      </c>
      <c r="I18" t="s">
        <v>242</v>
      </c>
    </row>
    <row r="19" spans="2:10" ht="18.5" x14ac:dyDescent="0.35">
      <c r="B19" s="92" t="s">
        <v>229</v>
      </c>
      <c r="C19" s="93">
        <v>129</v>
      </c>
      <c r="D19" s="94">
        <v>706605</v>
      </c>
      <c r="E19" s="130">
        <v>1</v>
      </c>
      <c r="F19" s="94">
        <f>+D19*E19</f>
        <v>706605</v>
      </c>
      <c r="H19" s="174">
        <f>+C19/$C$13</f>
        <v>0.17842323651452283</v>
      </c>
      <c r="I19" s="174">
        <f>+D19/$D$13</f>
        <v>0.11104614668761127</v>
      </c>
    </row>
    <row r="20" spans="2:10" ht="18.5" x14ac:dyDescent="0.35">
      <c r="B20" s="92" t="s">
        <v>230</v>
      </c>
      <c r="C20" s="93">
        <v>86</v>
      </c>
      <c r="D20" s="94">
        <v>553597</v>
      </c>
      <c r="E20" s="130">
        <v>0</v>
      </c>
      <c r="F20" s="94">
        <f t="shared" ref="F20:F23" si="3">+D20*E20</f>
        <v>0</v>
      </c>
      <c r="H20" s="174">
        <f t="shared" ref="H20:H24" si="4">+C20/$C$13</f>
        <v>0.11894882434301521</v>
      </c>
      <c r="I20" s="174">
        <f t="shared" ref="I20:I24" si="5">+D20/$D$13</f>
        <v>8.7000252853888002E-2</v>
      </c>
    </row>
    <row r="21" spans="2:10" ht="18.5" x14ac:dyDescent="0.35">
      <c r="B21" s="92" t="s">
        <v>231</v>
      </c>
      <c r="C21" s="93">
        <v>45</v>
      </c>
      <c r="D21" s="94">
        <v>336362</v>
      </c>
      <c r="E21" s="130">
        <v>0</v>
      </c>
      <c r="F21" s="94">
        <f t="shared" si="3"/>
        <v>0</v>
      </c>
      <c r="H21" s="174">
        <f t="shared" si="4"/>
        <v>6.2240663900414939E-2</v>
      </c>
      <c r="I21" s="174">
        <f t="shared" si="5"/>
        <v>5.2860797747168925E-2</v>
      </c>
    </row>
    <row r="22" spans="2:10" ht="18.5" x14ac:dyDescent="0.35">
      <c r="B22" s="92" t="s">
        <v>232</v>
      </c>
      <c r="C22" s="93">
        <v>37</v>
      </c>
      <c r="D22" s="94">
        <v>312410</v>
      </c>
      <c r="E22" s="130">
        <v>0</v>
      </c>
      <c r="F22" s="94">
        <f t="shared" si="3"/>
        <v>0</v>
      </c>
      <c r="H22" s="174">
        <f t="shared" si="4"/>
        <v>5.1175656984785614E-2</v>
      </c>
      <c r="I22" s="174">
        <f t="shared" si="5"/>
        <v>4.9096633460952915E-2</v>
      </c>
    </row>
    <row r="23" spans="2:10" ht="18.5" x14ac:dyDescent="0.35">
      <c r="B23" s="92" t="s">
        <v>233</v>
      </c>
      <c r="C23" s="93">
        <v>23</v>
      </c>
      <c r="D23" s="94">
        <v>218284</v>
      </c>
      <c r="E23" s="130">
        <v>0</v>
      </c>
      <c r="F23" s="94">
        <f t="shared" si="3"/>
        <v>0</v>
      </c>
      <c r="H23" s="174">
        <f t="shared" si="4"/>
        <v>3.18118948824343E-2</v>
      </c>
      <c r="I23" s="174">
        <f t="shared" si="5"/>
        <v>3.430431016417735E-2</v>
      </c>
      <c r="J23" s="4"/>
    </row>
    <row r="24" spans="2:10" ht="18.5" x14ac:dyDescent="0.35">
      <c r="B24" s="92" t="s">
        <v>69</v>
      </c>
      <c r="C24" s="93">
        <f>SUM(C19:C23)</f>
        <v>320</v>
      </c>
      <c r="D24" s="94">
        <f>SUM(D19:D23)</f>
        <v>2127258</v>
      </c>
      <c r="F24" s="94">
        <f>SUM(F19:F23)</f>
        <v>706605</v>
      </c>
      <c r="H24" s="174">
        <f t="shared" si="4"/>
        <v>0.44260027662517287</v>
      </c>
      <c r="I24" s="174">
        <f t="shared" si="5"/>
        <v>0.33430814091379846</v>
      </c>
    </row>
    <row r="25" spans="2:10" x14ac:dyDescent="0.35">
      <c r="C25">
        <f>+C24-C5</f>
        <v>0</v>
      </c>
      <c r="D25">
        <f>+D24-D5</f>
        <v>0</v>
      </c>
      <c r="H25" s="130">
        <f>+H24-H5</f>
        <v>0</v>
      </c>
      <c r="I25" s="130">
        <f>+I24-I5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3DB6-72ED-4657-824F-5B213D069F7B}">
  <dimension ref="B1:R25"/>
  <sheetViews>
    <sheetView rightToLeft="1" topLeftCell="A2" workbookViewId="0">
      <pane xSplit="2" ySplit="2" topLeftCell="F4" activePane="bottomRight" state="frozen"/>
      <selection activeCell="A2" sqref="A2"/>
      <selection pane="topRight" activeCell="C2" sqref="C2"/>
      <selection pane="bottomLeft" activeCell="A4" sqref="A4"/>
      <selection pane="bottomRight" activeCell="I6" sqref="I6:I12"/>
    </sheetView>
  </sheetViews>
  <sheetFormatPr defaultRowHeight="14.5" x14ac:dyDescent="0.35"/>
  <cols>
    <col min="2" max="2" width="30.6328125" customWidth="1"/>
    <col min="3" max="6" width="9.453125" customWidth="1"/>
    <col min="7" max="7" width="12.54296875" bestFit="1" customWidth="1"/>
    <col min="8" max="8" width="11" bestFit="1" customWidth="1"/>
    <col min="9" max="9" width="11.81640625" bestFit="1" customWidth="1"/>
    <col min="10" max="10" width="12.54296875" bestFit="1" customWidth="1"/>
    <col min="11" max="11" width="9" style="176" customWidth="1"/>
    <col min="14" max="14" width="9.1796875" customWidth="1"/>
  </cols>
  <sheetData>
    <row r="1" spans="2:18" ht="15" hidden="1" thickBot="1" x14ac:dyDescent="0.4"/>
    <row r="2" spans="2:18" ht="19" customHeight="1" thickTop="1" x14ac:dyDescent="0.35">
      <c r="B2" s="162"/>
      <c r="C2" s="185" t="s">
        <v>239</v>
      </c>
      <c r="D2" s="186"/>
      <c r="E2" s="186"/>
      <c r="F2" s="187"/>
      <c r="G2" s="186" t="s">
        <v>240</v>
      </c>
      <c r="H2" s="186"/>
      <c r="I2" s="186"/>
      <c r="J2" s="187"/>
      <c r="K2" s="185" t="s">
        <v>243</v>
      </c>
      <c r="L2" s="186"/>
      <c r="M2" s="186"/>
      <c r="N2" s="187"/>
      <c r="O2" s="185" t="s">
        <v>244</v>
      </c>
      <c r="P2" s="186"/>
      <c r="Q2" s="186"/>
      <c r="R2" s="187"/>
    </row>
    <row r="3" spans="2:18" ht="28.5" customHeight="1" x14ac:dyDescent="0.35">
      <c r="B3" s="163" t="s">
        <v>132</v>
      </c>
      <c r="C3" s="155" t="s">
        <v>235</v>
      </c>
      <c r="D3" s="91" t="s">
        <v>236</v>
      </c>
      <c r="E3" s="91" t="s">
        <v>237</v>
      </c>
      <c r="F3" s="156" t="s">
        <v>238</v>
      </c>
      <c r="G3" s="167" t="s">
        <v>235</v>
      </c>
      <c r="H3" s="91" t="s">
        <v>236</v>
      </c>
      <c r="I3" s="91" t="s">
        <v>237</v>
      </c>
      <c r="J3" s="156" t="s">
        <v>238</v>
      </c>
      <c r="K3" s="177" t="s">
        <v>235</v>
      </c>
      <c r="L3" s="91" t="s">
        <v>236</v>
      </c>
      <c r="M3" s="91" t="s">
        <v>237</v>
      </c>
      <c r="N3" s="156" t="s">
        <v>238</v>
      </c>
      <c r="O3" s="155" t="s">
        <v>235</v>
      </c>
      <c r="P3" s="91" t="s">
        <v>236</v>
      </c>
      <c r="Q3" s="91" t="s">
        <v>237</v>
      </c>
      <c r="R3" s="156" t="s">
        <v>238</v>
      </c>
    </row>
    <row r="4" spans="2:18" ht="23.15" customHeight="1" x14ac:dyDescent="0.35">
      <c r="B4" s="164" t="s">
        <v>227</v>
      </c>
      <c r="C4" s="168">
        <f>+'شرائح المرتبات 11 (الصيادلة)'!C4</f>
        <v>1905</v>
      </c>
      <c r="D4" s="93">
        <f>+'شرائح المرتبات 11 (شرق اوسط))'!C4</f>
        <v>372</v>
      </c>
      <c r="E4" s="93">
        <f>+'شرائح المرتبات 11 (توزيع) (2)'!C4</f>
        <v>273</v>
      </c>
      <c r="F4" s="158">
        <f>SUM(C4:E4)</f>
        <v>2550</v>
      </c>
      <c r="G4" s="170">
        <f>+'شرائح المرتبات 11 (الصيادلة)'!D4</f>
        <v>7022507</v>
      </c>
      <c r="H4" s="170">
        <f>+'شرائح المرتبات 11 (شرق اوسط))'!D4</f>
        <v>1420211</v>
      </c>
      <c r="I4" s="170">
        <f>+'شرائح المرتبات 11 (توزيع) (2)'!D4</f>
        <v>1079149.6000000001</v>
      </c>
      <c r="J4" s="170">
        <f>SUM(G4:I4)</f>
        <v>9521867.5999999996</v>
      </c>
      <c r="K4" s="179">
        <f>+C4/$C$13</f>
        <v>0.53436185133239833</v>
      </c>
      <c r="L4" s="180">
        <f>+D4/$D$13</f>
        <v>0.33066666666666666</v>
      </c>
      <c r="M4" s="180">
        <f>+E4/$E$13</f>
        <v>0.37759336099585061</v>
      </c>
      <c r="N4" s="181">
        <f>+F4/$F$13</f>
        <v>0.47108812118972843</v>
      </c>
      <c r="O4" s="179">
        <f>+G4/$G$13</f>
        <v>0.29183594485205855</v>
      </c>
      <c r="P4" s="180">
        <f>+H4/$H$13</f>
        <v>0.1547071311679078</v>
      </c>
      <c r="Q4" s="180">
        <f>+I4/$I$13</f>
        <v>0.16959320239663891</v>
      </c>
      <c r="R4" s="181">
        <f>+J4/$J$13</f>
        <v>0.24041256957584944</v>
      </c>
    </row>
    <row r="5" spans="2:18" ht="23.15" customHeight="1" x14ac:dyDescent="0.35">
      <c r="B5" s="164" t="s">
        <v>136</v>
      </c>
      <c r="C5" s="168">
        <f>+'شرائح المرتبات 11 (الصيادلة)'!C5</f>
        <v>1258</v>
      </c>
      <c r="D5" s="93">
        <f>+'شرائح المرتبات 11 (شرق اوسط))'!C5</f>
        <v>603</v>
      </c>
      <c r="E5" s="93">
        <f>+'شرائح المرتبات 11 (توزيع) (2)'!C5</f>
        <v>320</v>
      </c>
      <c r="F5" s="158">
        <f t="shared" ref="F5:F12" si="0">SUM(C5:E5)</f>
        <v>2181</v>
      </c>
      <c r="G5" s="170">
        <f>+'شرائح المرتبات 11 (الصيادلة)'!D5</f>
        <v>8380877</v>
      </c>
      <c r="H5" s="170">
        <f>+'شرائح المرتبات 11 (شرق اوسط))'!D5</f>
        <v>3962276</v>
      </c>
      <c r="I5" s="170">
        <f>+'شرائح المرتبات 11 (توزيع) (2)'!D5</f>
        <v>2127258</v>
      </c>
      <c r="J5" s="170">
        <f t="shared" ref="J5:J12" si="1">SUM(G5:I5)</f>
        <v>14470411</v>
      </c>
      <c r="K5" s="179">
        <f t="shared" ref="K5:K12" si="2">+C5/$C$13</f>
        <v>0.352875175315568</v>
      </c>
      <c r="L5" s="180">
        <f t="shared" ref="L5:L13" si="3">+D5/$D$13</f>
        <v>0.53600000000000003</v>
      </c>
      <c r="M5" s="180">
        <f t="shared" ref="M5:M13" si="4">+E5/$E$13</f>
        <v>0.44260027662517287</v>
      </c>
      <c r="N5" s="181">
        <f t="shared" ref="N5:N13" si="5">+F5/$F$13</f>
        <v>0.40291889894697952</v>
      </c>
      <c r="O5" s="179">
        <f t="shared" ref="O5:O13" si="6">+G5/$G$13</f>
        <v>0.34828604058121776</v>
      </c>
      <c r="P5" s="180">
        <f t="shared" ref="P5:P13" si="7">+H5/$H$13</f>
        <v>0.43162062035532256</v>
      </c>
      <c r="Q5" s="180">
        <f t="shared" ref="Q5:Q13" si="8">+I5/$I$13</f>
        <v>0.33430814091379846</v>
      </c>
      <c r="R5" s="181">
        <f t="shared" ref="R5:R13" si="9">+J5/$J$13</f>
        <v>0.36535570934935463</v>
      </c>
    </row>
    <row r="6" spans="2:18" ht="23.15" customHeight="1" x14ac:dyDescent="0.35">
      <c r="B6" s="165" t="s">
        <v>137</v>
      </c>
      <c r="C6" s="168">
        <f>+'شرائح المرتبات 11 (الصيادلة)'!C6</f>
        <v>200</v>
      </c>
      <c r="D6" s="93">
        <f>+'شرائح المرتبات 11 (شرق اوسط))'!C6</f>
        <v>84</v>
      </c>
      <c r="E6" s="93">
        <f>+'شرائح المرتبات 11 (توزيع) (2)'!C6</f>
        <v>51</v>
      </c>
      <c r="F6" s="158">
        <f t="shared" si="0"/>
        <v>335</v>
      </c>
      <c r="G6" s="170">
        <f>+'شرائح المرتبات 11 (الصيادلة)'!D6</f>
        <v>2396334</v>
      </c>
      <c r="H6" s="170">
        <f>+'شرائح المرتبات 11 (شرق اوسط))'!D6</f>
        <v>1020718</v>
      </c>
      <c r="I6" s="170">
        <f>+'شرائح المرتبات 11 (توزيع) (2)'!D6</f>
        <v>611213</v>
      </c>
      <c r="J6" s="170">
        <f t="shared" si="1"/>
        <v>4028265</v>
      </c>
      <c r="K6" s="179">
        <f t="shared" si="2"/>
        <v>5.6100981767180924E-2</v>
      </c>
      <c r="L6" s="180">
        <f t="shared" si="3"/>
        <v>7.4666666666666673E-2</v>
      </c>
      <c r="M6" s="180">
        <f t="shared" si="4"/>
        <v>7.0539419087136929E-2</v>
      </c>
      <c r="N6" s="181">
        <f t="shared" si="5"/>
        <v>6.1888047293552559E-2</v>
      </c>
      <c r="O6" s="179">
        <f t="shared" si="6"/>
        <v>9.9585005336571802E-2</v>
      </c>
      <c r="P6" s="180">
        <f t="shared" si="7"/>
        <v>0.11118936095512885</v>
      </c>
      <c r="Q6" s="180">
        <f t="shared" si="8"/>
        <v>9.6054865809575285E-2</v>
      </c>
      <c r="R6" s="181">
        <f t="shared" si="9"/>
        <v>0.10170752002290592</v>
      </c>
    </row>
    <row r="7" spans="2:18" ht="23.15" customHeight="1" x14ac:dyDescent="0.35">
      <c r="B7" s="165" t="s">
        <v>138</v>
      </c>
      <c r="C7" s="168">
        <f>+'شرائح المرتبات 11 (الصيادلة)'!C7</f>
        <v>91</v>
      </c>
      <c r="D7" s="93">
        <f>+'شرائح المرتبات 11 (شرق اوسط))'!C7</f>
        <v>25</v>
      </c>
      <c r="E7" s="93">
        <f>+'شرائح المرتبات 11 (توزيع) (2)'!C7</f>
        <v>25</v>
      </c>
      <c r="F7" s="158">
        <f t="shared" si="0"/>
        <v>141</v>
      </c>
      <c r="G7" s="170">
        <f>+'شرائح المرتبات 11 (الصيادلة)'!D7</f>
        <v>1593161</v>
      </c>
      <c r="H7" s="170">
        <f>+'شرائح المرتبات 11 (شرق اوسط))'!D7</f>
        <v>419937</v>
      </c>
      <c r="I7" s="170">
        <f>+'شرائح المرتبات 11 (توزيع) (2)'!D7</f>
        <v>427790</v>
      </c>
      <c r="J7" s="170">
        <f t="shared" si="1"/>
        <v>2440888</v>
      </c>
      <c r="K7" s="179">
        <f t="shared" si="2"/>
        <v>2.5525946704067323E-2</v>
      </c>
      <c r="L7" s="180">
        <f t="shared" si="3"/>
        <v>2.2222222222222223E-2</v>
      </c>
      <c r="M7" s="180">
        <f t="shared" si="4"/>
        <v>3.4578146611341634E-2</v>
      </c>
      <c r="N7" s="181">
        <f t="shared" si="5"/>
        <v>2.604840199519675E-2</v>
      </c>
      <c r="O7" s="179">
        <f t="shared" si="6"/>
        <v>6.6207359527936452E-2</v>
      </c>
      <c r="P7" s="180">
        <f t="shared" si="7"/>
        <v>4.5744786191106598E-2</v>
      </c>
      <c r="Q7" s="180">
        <f t="shared" si="8"/>
        <v>6.7229118236487459E-2</v>
      </c>
      <c r="R7" s="181">
        <f t="shared" si="9"/>
        <v>6.1628682604960398E-2</v>
      </c>
    </row>
    <row r="8" spans="2:18" ht="23.15" customHeight="1" x14ac:dyDescent="0.35">
      <c r="B8" s="165" t="s">
        <v>139</v>
      </c>
      <c r="C8" s="168">
        <f>+'شرائح المرتبات 11 (الصيادلة)'!C8</f>
        <v>40</v>
      </c>
      <c r="D8" s="93">
        <f>+'شرائح المرتبات 11 (شرق اوسط))'!C8</f>
        <v>11</v>
      </c>
      <c r="E8" s="93">
        <f>+'شرائح المرتبات 11 (توزيع) (2)'!C8</f>
        <v>13</v>
      </c>
      <c r="F8" s="158">
        <f t="shared" si="0"/>
        <v>64</v>
      </c>
      <c r="G8" s="170">
        <f>+'شرائح المرتبات 11 (الصيادلة)'!D8</f>
        <v>872832</v>
      </c>
      <c r="H8" s="170">
        <f>+'شرائح المرتبات 11 (شرق اوسط))'!D8</f>
        <v>235314</v>
      </c>
      <c r="I8" s="170">
        <f>+'شرائح المرتبات 11 (توزيع) (2)'!D8</f>
        <v>292165</v>
      </c>
      <c r="J8" s="170">
        <f t="shared" si="1"/>
        <v>1400311</v>
      </c>
      <c r="K8" s="179">
        <f t="shared" si="2"/>
        <v>1.1220196353436185E-2</v>
      </c>
      <c r="L8" s="180">
        <f t="shared" si="3"/>
        <v>9.7777777777777776E-3</v>
      </c>
      <c r="M8" s="180">
        <f t="shared" si="4"/>
        <v>1.7980636237897647E-2</v>
      </c>
      <c r="N8" s="181">
        <f t="shared" si="5"/>
        <v>1.1823388139663773E-2</v>
      </c>
      <c r="O8" s="179">
        <f t="shared" si="6"/>
        <v>3.6272480955463905E-2</v>
      </c>
      <c r="P8" s="180">
        <f t="shared" si="7"/>
        <v>2.563334171024239E-2</v>
      </c>
      <c r="Q8" s="180">
        <f t="shared" si="8"/>
        <v>4.5915040860149511E-2</v>
      </c>
      <c r="R8" s="181">
        <f t="shared" si="9"/>
        <v>3.5355707499579947E-2</v>
      </c>
    </row>
    <row r="9" spans="2:18" ht="23.15" customHeight="1" x14ac:dyDescent="0.35">
      <c r="B9" s="165" t="s">
        <v>140</v>
      </c>
      <c r="C9" s="168">
        <f>+'شرائح المرتبات 11 (الصيادلة)'!C9</f>
        <v>21</v>
      </c>
      <c r="D9" s="93">
        <f>+'شرائح المرتبات 11 (شرق اوسط))'!C9</f>
        <v>5</v>
      </c>
      <c r="E9" s="93">
        <f>+'شرائح المرتبات 11 (توزيع) (2)'!C9</f>
        <v>13</v>
      </c>
      <c r="F9" s="158">
        <f t="shared" si="0"/>
        <v>39</v>
      </c>
      <c r="G9" s="170">
        <f>+'شرائح المرتبات 11 (الصيادلة)'!D9</f>
        <v>584564</v>
      </c>
      <c r="H9" s="170">
        <f>+'شرائح المرتبات 11 (شرق اوسط))'!D9</f>
        <v>137368</v>
      </c>
      <c r="I9" s="170">
        <f>+'شرائح المرتبات 11 (توزيع) (2)'!D9</f>
        <v>354514.26789499988</v>
      </c>
      <c r="J9" s="170">
        <f t="shared" si="1"/>
        <v>1076446.2678949998</v>
      </c>
      <c r="K9" s="179">
        <f t="shared" si="2"/>
        <v>5.8906030855539974E-3</v>
      </c>
      <c r="L9" s="180">
        <f t="shared" si="3"/>
        <v>4.4444444444444444E-3</v>
      </c>
      <c r="M9" s="180">
        <f t="shared" si="4"/>
        <v>1.7980636237897647E-2</v>
      </c>
      <c r="N9" s="181">
        <f t="shared" si="5"/>
        <v>7.2048771476076112E-3</v>
      </c>
      <c r="O9" s="179">
        <f t="shared" si="6"/>
        <v>2.4292861120180975E-2</v>
      </c>
      <c r="P9" s="180">
        <f t="shared" si="7"/>
        <v>1.4963839312801519E-2</v>
      </c>
      <c r="Q9" s="180">
        <f t="shared" si="8"/>
        <v>5.5713508106395047E-2</v>
      </c>
      <c r="R9" s="181">
        <f t="shared" si="9"/>
        <v>2.7178619168677594E-2</v>
      </c>
    </row>
    <row r="10" spans="2:18" ht="23.15" customHeight="1" x14ac:dyDescent="0.35">
      <c r="B10" s="165" t="s">
        <v>142</v>
      </c>
      <c r="C10" s="168">
        <f>+'شرائح المرتبات 11 (الصيادلة)'!C10</f>
        <v>28</v>
      </c>
      <c r="D10" s="93">
        <f>+'شرائح المرتبات 11 (شرق اوسط))'!C10</f>
        <v>9</v>
      </c>
      <c r="E10" s="93">
        <f>+'شرائح المرتبات 11 (توزيع) (2)'!C10</f>
        <v>22</v>
      </c>
      <c r="F10" s="158">
        <f t="shared" si="0"/>
        <v>59</v>
      </c>
      <c r="G10" s="170">
        <f>+'شرائح المرتبات 11 (الصيادلة)'!D10</f>
        <v>983445</v>
      </c>
      <c r="H10" s="170">
        <f>+'شرائح المرتبات 11 (شرق اوسط))'!D10</f>
        <v>319859</v>
      </c>
      <c r="I10" s="170">
        <f>+'شرائح المرتبات 11 (توزيع) (2)'!D10</f>
        <v>853510.54645999975</v>
      </c>
      <c r="J10" s="170">
        <f t="shared" si="1"/>
        <v>2156814.5464599999</v>
      </c>
      <c r="K10" s="179">
        <f t="shared" si="2"/>
        <v>7.8541374474053304E-3</v>
      </c>
      <c r="L10" s="180">
        <f t="shared" si="3"/>
        <v>8.0000000000000002E-3</v>
      </c>
      <c r="M10" s="180">
        <f t="shared" si="4"/>
        <v>3.0428769017980636E-2</v>
      </c>
      <c r="N10" s="181">
        <f t="shared" si="5"/>
        <v>1.089968594125254E-2</v>
      </c>
      <c r="O10" s="179">
        <f t="shared" si="6"/>
        <v>4.0869250936315583E-2</v>
      </c>
      <c r="P10" s="180">
        <f t="shared" si="7"/>
        <v>3.484303970905437E-2</v>
      </c>
      <c r="Q10" s="180">
        <f t="shared" si="8"/>
        <v>0.13413301256235149</v>
      </c>
      <c r="R10" s="181">
        <f t="shared" si="9"/>
        <v>5.4456263098325255E-2</v>
      </c>
    </row>
    <row r="11" spans="2:18" ht="23.15" customHeight="1" x14ac:dyDescent="0.35">
      <c r="B11" s="165" t="s">
        <v>168</v>
      </c>
      <c r="C11" s="168">
        <f>+'شرائح المرتبات 11 (الصيادلة)'!C11</f>
        <v>16</v>
      </c>
      <c r="D11" s="93">
        <f>+'شرائح المرتبات 11 (شرق اوسط))'!C11</f>
        <v>12</v>
      </c>
      <c r="E11" s="93">
        <f>+'شرائح المرتبات 11 (توزيع) (2)'!C11</f>
        <v>4</v>
      </c>
      <c r="F11" s="158">
        <f t="shared" si="0"/>
        <v>32</v>
      </c>
      <c r="G11" s="170">
        <f>+'شرائح المرتبات 11 (الصيادلة)'!D11</f>
        <v>1127187</v>
      </c>
      <c r="H11" s="170">
        <f>+'شرائح المرتبات 11 (شرق اوسط))'!D11</f>
        <v>789313</v>
      </c>
      <c r="I11" s="170">
        <f>+'شرائح المرتبات 11 (توزيع) (2)'!D11</f>
        <v>277408</v>
      </c>
      <c r="J11" s="170">
        <f t="shared" si="1"/>
        <v>2193908</v>
      </c>
      <c r="K11" s="179">
        <f t="shared" si="2"/>
        <v>4.4880785413744743E-3</v>
      </c>
      <c r="L11" s="180">
        <f t="shared" si="3"/>
        <v>1.0666666666666666E-2</v>
      </c>
      <c r="M11" s="180">
        <f t="shared" si="4"/>
        <v>5.5325034578146614E-3</v>
      </c>
      <c r="N11" s="181">
        <f t="shared" si="5"/>
        <v>5.9116940698318863E-3</v>
      </c>
      <c r="O11" s="179">
        <f t="shared" si="6"/>
        <v>4.6842770419446692E-2</v>
      </c>
      <c r="P11" s="180">
        <f t="shared" si="7"/>
        <v>8.5981836377506435E-2</v>
      </c>
      <c r="Q11" s="180">
        <f t="shared" si="8"/>
        <v>4.3595912087116377E-2</v>
      </c>
      <c r="R11" s="181">
        <f t="shared" si="9"/>
        <v>5.5392815973729012E-2</v>
      </c>
    </row>
    <row r="12" spans="2:18" ht="23.15" customHeight="1" x14ac:dyDescent="0.35">
      <c r="B12" s="165" t="s">
        <v>169</v>
      </c>
      <c r="C12" s="168">
        <f>+'شرائح المرتبات 11 (الصيادلة)'!C12</f>
        <v>6</v>
      </c>
      <c r="D12" s="93">
        <f>+'شرائح المرتبات 11 (شرق اوسط))'!C12</f>
        <v>4</v>
      </c>
      <c r="E12" s="93">
        <f>+'شرائح المرتبات 11 (توزيع) (2)'!C12</f>
        <v>2</v>
      </c>
      <c r="F12" s="158">
        <f t="shared" si="0"/>
        <v>12</v>
      </c>
      <c r="G12" s="170">
        <f>+'شرائح المرتبات 11 (الصيادلة)'!D12</f>
        <v>1102294</v>
      </c>
      <c r="H12" s="170">
        <f>+'شرائح المرتبات 11 (شرق اوسط))'!D12</f>
        <v>875001</v>
      </c>
      <c r="I12" s="170">
        <f>+'شرائح المرتبات 11 (توزيع) (2)'!D12</f>
        <v>340157</v>
      </c>
      <c r="J12" s="170">
        <f t="shared" si="1"/>
        <v>2317452</v>
      </c>
      <c r="K12" s="179">
        <f t="shared" si="2"/>
        <v>1.6830294530154279E-3</v>
      </c>
      <c r="L12" s="180">
        <f t="shared" si="3"/>
        <v>3.5555555555555557E-3</v>
      </c>
      <c r="M12" s="180">
        <f t="shared" si="4"/>
        <v>2.7662517289073307E-3</v>
      </c>
      <c r="N12" s="181">
        <f t="shared" si="5"/>
        <v>2.2168852761869575E-3</v>
      </c>
      <c r="O12" s="179">
        <f t="shared" si="6"/>
        <v>4.5808286270808275E-2</v>
      </c>
      <c r="P12" s="180">
        <f t="shared" si="7"/>
        <v>9.5316044220929486E-2</v>
      </c>
      <c r="Q12" s="180">
        <f t="shared" si="8"/>
        <v>5.3457199027487474E-2</v>
      </c>
      <c r="R12" s="181">
        <f t="shared" si="9"/>
        <v>5.8512112706617707E-2</v>
      </c>
    </row>
    <row r="13" spans="2:18" ht="23.15" customHeight="1" thickBot="1" x14ac:dyDescent="0.4">
      <c r="B13" s="166" t="s">
        <v>69</v>
      </c>
      <c r="C13" s="169">
        <f>SUM(C4:C12)</f>
        <v>3565</v>
      </c>
      <c r="D13" s="160">
        <f t="shared" ref="D13:F13" si="10">SUM(D4:D12)</f>
        <v>1125</v>
      </c>
      <c r="E13" s="160">
        <f>SUM(E4:E12)</f>
        <v>723</v>
      </c>
      <c r="F13" s="161">
        <f t="shared" si="10"/>
        <v>5413</v>
      </c>
      <c r="G13" s="171">
        <f>SUM(G4:G12)</f>
        <v>24063201</v>
      </c>
      <c r="H13" s="171">
        <f t="shared" ref="H13" si="11">SUM(H4:H12)</f>
        <v>9179997</v>
      </c>
      <c r="I13" s="171">
        <f>SUM(I4:I12)</f>
        <v>6363165.4143549995</v>
      </c>
      <c r="J13" s="171">
        <f t="shared" ref="J13" si="12">SUM(J4:J12)</f>
        <v>39606363.414355002</v>
      </c>
      <c r="K13" s="182">
        <f>SUM(K4:K12)</f>
        <v>1</v>
      </c>
      <c r="L13" s="180">
        <f t="shared" si="3"/>
        <v>1</v>
      </c>
      <c r="M13" s="180">
        <f t="shared" si="4"/>
        <v>1</v>
      </c>
      <c r="N13" s="183">
        <f t="shared" si="5"/>
        <v>1</v>
      </c>
      <c r="O13" s="182">
        <f t="shared" si="6"/>
        <v>1</v>
      </c>
      <c r="P13" s="180">
        <f t="shared" si="7"/>
        <v>1</v>
      </c>
      <c r="Q13" s="180">
        <f t="shared" si="8"/>
        <v>1</v>
      </c>
      <c r="R13" s="181">
        <f t="shared" si="9"/>
        <v>1</v>
      </c>
    </row>
    <row r="14" spans="2:18" ht="15" thickTop="1" x14ac:dyDescent="0.35">
      <c r="G14" s="54"/>
      <c r="H14" s="54"/>
      <c r="I14" s="54"/>
      <c r="O14" s="54">
        <f>+O13-'شرائح المرتبات 11 (الصيادلة)'!L13</f>
        <v>1</v>
      </c>
      <c r="P14" s="54">
        <f>+P13-'شرائح المرتبات 11 (شرق اوسط))'!L13</f>
        <v>1</v>
      </c>
      <c r="Q14" s="54">
        <f>+Q13-'شرائح المرتبات 11 (توزيع) (2)'!L13</f>
        <v>1</v>
      </c>
      <c r="R14" s="54">
        <f>+R13-'شرائح المرتبات 11 (توزيع) (2)'!M13</f>
        <v>1</v>
      </c>
    </row>
    <row r="16" spans="2:18" ht="15" thickBot="1" x14ac:dyDescent="0.4">
      <c r="B16" s="54"/>
    </row>
    <row r="17" spans="2:18" ht="23.5" customHeight="1" thickTop="1" x14ac:dyDescent="0.35">
      <c r="B17" s="154"/>
      <c r="C17" s="186" t="s">
        <v>239</v>
      </c>
      <c r="D17" s="186"/>
      <c r="E17" s="186"/>
      <c r="F17" s="186"/>
      <c r="G17" s="186" t="s">
        <v>240</v>
      </c>
      <c r="H17" s="186"/>
      <c r="I17" s="186"/>
      <c r="J17" s="187"/>
      <c r="K17" s="185" t="s">
        <v>243</v>
      </c>
      <c r="L17" s="186"/>
      <c r="M17" s="186"/>
      <c r="N17" s="187"/>
      <c r="O17" s="185" t="s">
        <v>244</v>
      </c>
      <c r="P17" s="186"/>
      <c r="Q17" s="186"/>
      <c r="R17" s="187"/>
    </row>
    <row r="18" spans="2:18" ht="45" customHeight="1" x14ac:dyDescent="0.35">
      <c r="B18" s="155" t="s">
        <v>132</v>
      </c>
      <c r="C18" s="91" t="s">
        <v>235</v>
      </c>
      <c r="D18" s="91" t="s">
        <v>236</v>
      </c>
      <c r="E18" s="91" t="s">
        <v>237</v>
      </c>
      <c r="F18" s="91" t="s">
        <v>238</v>
      </c>
      <c r="G18" s="91" t="s">
        <v>235</v>
      </c>
      <c r="H18" s="91" t="s">
        <v>236</v>
      </c>
      <c r="I18" s="91" t="s">
        <v>237</v>
      </c>
      <c r="J18" s="156" t="s">
        <v>238</v>
      </c>
      <c r="K18" s="177" t="s">
        <v>235</v>
      </c>
      <c r="L18" s="91" t="s">
        <v>236</v>
      </c>
      <c r="M18" s="91" t="s">
        <v>237</v>
      </c>
      <c r="N18" s="156" t="s">
        <v>238</v>
      </c>
      <c r="O18" s="155" t="s">
        <v>235</v>
      </c>
      <c r="P18" s="91" t="s">
        <v>236</v>
      </c>
      <c r="Q18" s="91" t="s">
        <v>237</v>
      </c>
      <c r="R18" s="156" t="s">
        <v>238</v>
      </c>
    </row>
    <row r="19" spans="2:18" ht="29.5" customHeight="1" x14ac:dyDescent="0.35">
      <c r="B19" s="157" t="s">
        <v>229</v>
      </c>
      <c r="C19" s="93">
        <f>+'شرائح المرتبات 11 (الصيادلة)'!C19</f>
        <v>480</v>
      </c>
      <c r="D19" s="93">
        <f>+'شرائح المرتبات 11 (شرق اوسط))'!C19</f>
        <v>222</v>
      </c>
      <c r="E19" s="93">
        <f>+'شرائح المرتبات 11 (توزيع) (2)'!C19</f>
        <v>129</v>
      </c>
      <c r="F19" s="93">
        <f t="shared" ref="F19:F23" si="13">SUM(C19:E19)</f>
        <v>831</v>
      </c>
      <c r="G19" s="172">
        <f>+'شرائح المرتبات 11 (الصيادلة)'!D19</f>
        <v>2636677</v>
      </c>
      <c r="H19" s="170">
        <f>+'شرائح المرتبات 11 (شرق اوسط))'!D19</f>
        <v>1204946</v>
      </c>
      <c r="I19" s="170">
        <f>+'شرائح المرتبات 11 (توزيع) (2)'!D19</f>
        <v>706605</v>
      </c>
      <c r="J19" s="172">
        <f t="shared" ref="J19:J23" si="14">SUM(G19:I19)</f>
        <v>4548228</v>
      </c>
      <c r="K19" s="179">
        <f t="shared" ref="K19:K24" si="15">+C19/$C$13</f>
        <v>0.13464235624123422</v>
      </c>
      <c r="L19" s="180">
        <f t="shared" ref="L19:L24" si="16">+D19/$D$13</f>
        <v>0.19733333333333333</v>
      </c>
      <c r="M19" s="180">
        <f t="shared" ref="M19:M24" si="17">+E19/$E$13</f>
        <v>0.17842323651452283</v>
      </c>
      <c r="N19" s="181">
        <f t="shared" ref="N19:N24" si="18">+F19/$F$13</f>
        <v>0.1535193053759468</v>
      </c>
      <c r="O19" s="178">
        <f t="shared" ref="O19:O24" si="19">+G19/$G$13</f>
        <v>0.1095729948812712</v>
      </c>
      <c r="P19" s="180">
        <f t="shared" ref="P19:P24" si="20">+H19/$H$13</f>
        <v>0.13125777709949144</v>
      </c>
      <c r="Q19" s="180">
        <f t="shared" ref="Q19:Q24" si="21">+I19/$I$13</f>
        <v>0.11104614668761127</v>
      </c>
      <c r="R19" s="181">
        <f t="shared" ref="R19:R24" si="22">+J19/$J$13</f>
        <v>0.11483578919925609</v>
      </c>
    </row>
    <row r="20" spans="2:18" ht="23.5" customHeight="1" x14ac:dyDescent="0.35">
      <c r="B20" s="157" t="s">
        <v>230</v>
      </c>
      <c r="C20" s="93">
        <f>+'شرائح المرتبات 11 (الصيادلة)'!C20</f>
        <v>366</v>
      </c>
      <c r="D20" s="93">
        <f>+'شرائح المرتبات 11 (شرق اوسط))'!C20</f>
        <v>197</v>
      </c>
      <c r="E20" s="93">
        <f>+'شرائح المرتبات 11 (توزيع) (2)'!C20</f>
        <v>86</v>
      </c>
      <c r="F20" s="93">
        <f t="shared" si="13"/>
        <v>649</v>
      </c>
      <c r="G20" s="172">
        <f>+'شرائح المرتبات 11 (الصيادلة)'!D20</f>
        <v>2379215</v>
      </c>
      <c r="H20" s="170">
        <f>+'شرائح المرتبات 11 (شرق اوسط))'!D20</f>
        <v>1271912</v>
      </c>
      <c r="I20" s="170">
        <f>+'شرائح المرتبات 11 (توزيع) (2)'!D20</f>
        <v>553597</v>
      </c>
      <c r="J20" s="172">
        <f t="shared" si="14"/>
        <v>4204724</v>
      </c>
      <c r="K20" s="179">
        <f t="shared" si="15"/>
        <v>0.1026647966339411</v>
      </c>
      <c r="L20" s="180">
        <f t="shared" si="16"/>
        <v>0.17511111111111111</v>
      </c>
      <c r="M20" s="180">
        <f t="shared" si="17"/>
        <v>0.11894882434301521</v>
      </c>
      <c r="N20" s="181">
        <f t="shared" si="18"/>
        <v>0.11989654535377794</v>
      </c>
      <c r="O20" s="178">
        <f t="shared" si="19"/>
        <v>9.8873587100901494E-2</v>
      </c>
      <c r="P20" s="180">
        <f t="shared" si="20"/>
        <v>0.13855255072523445</v>
      </c>
      <c r="Q20" s="180">
        <f t="shared" si="21"/>
        <v>8.7000252853888002E-2</v>
      </c>
      <c r="R20" s="181">
        <f t="shared" si="22"/>
        <v>0.10616283944099832</v>
      </c>
    </row>
    <row r="21" spans="2:18" ht="23.5" customHeight="1" x14ac:dyDescent="0.35">
      <c r="B21" s="157" t="s">
        <v>231</v>
      </c>
      <c r="C21" s="93">
        <f>+'شرائح المرتبات 11 (الصيادلة)'!C21</f>
        <v>207</v>
      </c>
      <c r="D21" s="93">
        <f>+'شرائح المرتبات 11 (شرق اوسط))'!C21</f>
        <v>105</v>
      </c>
      <c r="E21" s="93">
        <f>+'شرائح المرتبات 11 (توزيع) (2)'!C21</f>
        <v>45</v>
      </c>
      <c r="F21" s="93">
        <f t="shared" si="13"/>
        <v>357</v>
      </c>
      <c r="G21" s="172">
        <f>+'شرائح المرتبات 11 (الصيادلة)'!D21</f>
        <v>1538277</v>
      </c>
      <c r="H21" s="170">
        <f>+'شرائح المرتبات 11 (شرق اوسط))'!D21</f>
        <v>781670</v>
      </c>
      <c r="I21" s="170">
        <f>+'شرائح المرتبات 11 (توزيع) (2)'!D21</f>
        <v>336362</v>
      </c>
      <c r="J21" s="172">
        <f t="shared" si="14"/>
        <v>2656309</v>
      </c>
      <c r="K21" s="179">
        <f t="shared" si="15"/>
        <v>5.8064516129032261E-2</v>
      </c>
      <c r="L21" s="180">
        <f t="shared" si="16"/>
        <v>9.3333333333333338E-2</v>
      </c>
      <c r="M21" s="180">
        <f t="shared" si="17"/>
        <v>6.2240663900414939E-2</v>
      </c>
      <c r="N21" s="181">
        <f t="shared" si="18"/>
        <v>6.5952336966561984E-2</v>
      </c>
      <c r="O21" s="178">
        <f t="shared" si="19"/>
        <v>6.3926532467563232E-2</v>
      </c>
      <c r="P21" s="180">
        <f t="shared" si="20"/>
        <v>8.5149265299324178E-2</v>
      </c>
      <c r="Q21" s="180">
        <f t="shared" si="21"/>
        <v>5.2860797747168925E-2</v>
      </c>
      <c r="R21" s="181">
        <f t="shared" si="22"/>
        <v>6.7067732833993102E-2</v>
      </c>
    </row>
    <row r="22" spans="2:18" ht="23.5" customHeight="1" x14ac:dyDescent="0.35">
      <c r="B22" s="157" t="s">
        <v>232</v>
      </c>
      <c r="C22" s="93">
        <f>+'شرائح المرتبات 11 (الصيادلة)'!C22</f>
        <v>113</v>
      </c>
      <c r="D22" s="93">
        <f>+'شرائح المرتبات 11 (شرق اوسط))'!C22</f>
        <v>45</v>
      </c>
      <c r="E22" s="93">
        <f>+'شرائح المرتبات 11 (توزيع) (2)'!C22</f>
        <v>37</v>
      </c>
      <c r="F22" s="93">
        <f t="shared" si="13"/>
        <v>195</v>
      </c>
      <c r="G22" s="172">
        <f>+'شرائح المرتبات 11 (الصيادلة)'!D22</f>
        <v>956203</v>
      </c>
      <c r="H22" s="170">
        <f>+'شرائح المرتبات 11 (شرق اوسط))'!D22</f>
        <v>380071</v>
      </c>
      <c r="I22" s="170">
        <f>+'شرائح المرتبات 11 (توزيع) (2)'!D22</f>
        <v>312410</v>
      </c>
      <c r="J22" s="172">
        <f t="shared" si="14"/>
        <v>1648684</v>
      </c>
      <c r="K22" s="179">
        <f t="shared" si="15"/>
        <v>3.1697054698457225E-2</v>
      </c>
      <c r="L22" s="180">
        <f t="shared" si="16"/>
        <v>0.04</v>
      </c>
      <c r="M22" s="180">
        <f t="shared" si="17"/>
        <v>5.1175656984785614E-2</v>
      </c>
      <c r="N22" s="181">
        <f t="shared" si="18"/>
        <v>3.6024385738038053E-2</v>
      </c>
      <c r="O22" s="178">
        <f t="shared" si="19"/>
        <v>3.9737148852307717E-2</v>
      </c>
      <c r="P22" s="180">
        <f t="shared" si="20"/>
        <v>4.1402083246868164E-2</v>
      </c>
      <c r="Q22" s="180">
        <f t="shared" si="21"/>
        <v>4.9096633460952915E-2</v>
      </c>
      <c r="R22" s="181">
        <f t="shared" si="22"/>
        <v>4.1626745246761229E-2</v>
      </c>
    </row>
    <row r="23" spans="2:18" ht="23.5" customHeight="1" x14ac:dyDescent="0.35">
      <c r="B23" s="157" t="s">
        <v>233</v>
      </c>
      <c r="C23" s="93">
        <f>+'شرائح المرتبات 11 (الصيادلة)'!C23</f>
        <v>92</v>
      </c>
      <c r="D23" s="93">
        <f>+'شرائح المرتبات 11 (شرق اوسط))'!C23</f>
        <v>34</v>
      </c>
      <c r="E23" s="93">
        <f>+'شرائح المرتبات 11 (توزيع) (2)'!C23</f>
        <v>23</v>
      </c>
      <c r="F23" s="93">
        <f t="shared" si="13"/>
        <v>149</v>
      </c>
      <c r="G23" s="172">
        <f>+'شرائح المرتبات 11 (الصيادلة)'!D23</f>
        <v>870504</v>
      </c>
      <c r="H23" s="170">
        <f>+'شرائح المرتبات 11 (شرق اوسط))'!D23</f>
        <v>323677</v>
      </c>
      <c r="I23" s="170">
        <f>+'شرائح المرتبات 11 (توزيع) (2)'!D23</f>
        <v>218284</v>
      </c>
      <c r="J23" s="172">
        <f t="shared" si="14"/>
        <v>1412465</v>
      </c>
      <c r="K23" s="179">
        <f t="shared" si="15"/>
        <v>2.5806451612903226E-2</v>
      </c>
      <c r="L23" s="180">
        <f t="shared" si="16"/>
        <v>3.0222222222222223E-2</v>
      </c>
      <c r="M23" s="180">
        <f t="shared" si="17"/>
        <v>3.18118948824343E-2</v>
      </c>
      <c r="N23" s="181">
        <f t="shared" si="18"/>
        <v>2.7526325512654722E-2</v>
      </c>
      <c r="O23" s="178">
        <f t="shared" si="19"/>
        <v>3.6175735721943228E-2</v>
      </c>
      <c r="P23" s="180">
        <f t="shared" si="20"/>
        <v>3.5258943984404351E-2</v>
      </c>
      <c r="Q23" s="180">
        <f t="shared" si="21"/>
        <v>3.430431016417735E-2</v>
      </c>
      <c r="R23" s="181">
        <f t="shared" si="22"/>
        <v>3.5662577379877894E-2</v>
      </c>
    </row>
    <row r="24" spans="2:18" ht="23.5" customHeight="1" thickBot="1" x14ac:dyDescent="0.4">
      <c r="B24" s="159" t="s">
        <v>69</v>
      </c>
      <c r="C24" s="160">
        <f>SUM(C19:C23)</f>
        <v>1258</v>
      </c>
      <c r="D24" s="160">
        <f t="shared" ref="D24:F24" si="23">SUM(D19:D23)</f>
        <v>603</v>
      </c>
      <c r="E24" s="160">
        <f t="shared" si="23"/>
        <v>320</v>
      </c>
      <c r="F24" s="160">
        <f t="shared" si="23"/>
        <v>2181</v>
      </c>
      <c r="G24" s="173">
        <f>SUM(G19:G23)</f>
        <v>8380876</v>
      </c>
      <c r="H24" s="173">
        <f t="shared" ref="H24" si="24">SUM(H19:H23)</f>
        <v>3962276</v>
      </c>
      <c r="I24" s="173">
        <f t="shared" ref="I24" si="25">SUM(I19:I23)</f>
        <v>2127258</v>
      </c>
      <c r="J24" s="173">
        <f t="shared" ref="J24" si="26">SUM(J19:J23)</f>
        <v>14470410</v>
      </c>
      <c r="K24" s="182">
        <f t="shared" si="15"/>
        <v>0.352875175315568</v>
      </c>
      <c r="L24" s="180">
        <f t="shared" si="16"/>
        <v>0.53600000000000003</v>
      </c>
      <c r="M24" s="180">
        <f t="shared" si="17"/>
        <v>0.44260027662517287</v>
      </c>
      <c r="N24" s="181">
        <f t="shared" si="18"/>
        <v>0.40291889894697952</v>
      </c>
      <c r="O24" s="178">
        <f t="shared" si="19"/>
        <v>0.34828599902398688</v>
      </c>
      <c r="P24" s="180">
        <f t="shared" si="20"/>
        <v>0.43162062035532256</v>
      </c>
      <c r="Q24" s="180">
        <f t="shared" si="21"/>
        <v>0.33430814091379846</v>
      </c>
      <c r="R24" s="181">
        <f t="shared" si="22"/>
        <v>0.36535568410088665</v>
      </c>
    </row>
    <row r="25" spans="2:18" s="54" customFormat="1" ht="15" thickTop="1" x14ac:dyDescent="0.35">
      <c r="C25" s="54">
        <f>+C24-C5</f>
        <v>0</v>
      </c>
      <c r="D25" s="54">
        <f t="shared" ref="D25:F25" si="27">+D24-D5</f>
        <v>0</v>
      </c>
      <c r="E25" s="54">
        <f t="shared" si="27"/>
        <v>0</v>
      </c>
      <c r="F25" s="54">
        <f t="shared" si="27"/>
        <v>0</v>
      </c>
      <c r="G25" s="54">
        <f>+G24-G5</f>
        <v>-1</v>
      </c>
      <c r="H25" s="54">
        <f t="shared" ref="H25" si="28">+H24-H5</f>
        <v>0</v>
      </c>
      <c r="I25" s="54">
        <f t="shared" ref="I25" si="29">+I24-I5</f>
        <v>0</v>
      </c>
      <c r="J25" s="54">
        <f t="shared" ref="J25" si="30">+J24-J5</f>
        <v>-1</v>
      </c>
      <c r="K25" s="54">
        <f>+K24-K5</f>
        <v>0</v>
      </c>
      <c r="L25" s="54">
        <f t="shared" ref="L25" si="31">+L24-L5</f>
        <v>0</v>
      </c>
      <c r="M25" s="54">
        <f t="shared" ref="M25" si="32">+M24-M5</f>
        <v>0</v>
      </c>
      <c r="N25" s="54">
        <f t="shared" ref="N25:R25" si="33">+N24-N5</f>
        <v>0</v>
      </c>
      <c r="O25" s="54">
        <f t="shared" si="33"/>
        <v>-4.1557230878730422E-8</v>
      </c>
      <c r="P25" s="54">
        <f t="shared" si="33"/>
        <v>0</v>
      </c>
      <c r="Q25" s="54">
        <f t="shared" si="33"/>
        <v>0</v>
      </c>
      <c r="R25" s="54">
        <f t="shared" si="33"/>
        <v>-2.5248467983018941E-8</v>
      </c>
    </row>
  </sheetData>
  <mergeCells count="8">
    <mergeCell ref="O2:R2"/>
    <mergeCell ref="K17:N17"/>
    <mergeCell ref="O17:R17"/>
    <mergeCell ref="C2:F2"/>
    <mergeCell ref="C17:F17"/>
    <mergeCell ref="G2:J2"/>
    <mergeCell ref="G17:J17"/>
    <mergeCell ref="K2:N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26CF-C4D2-439D-BAA9-655DC52CC821}">
  <sheetPr>
    <tabColor rgb="FFFF0000"/>
  </sheetPr>
  <dimension ref="A1:K13"/>
  <sheetViews>
    <sheetView rightToLeft="1" workbookViewId="0"/>
  </sheetViews>
  <sheetFormatPr defaultRowHeight="14.5" x14ac:dyDescent="0.35"/>
  <cols>
    <col min="2" max="2" width="9.453125" bestFit="1" customWidth="1"/>
    <col min="3" max="3" width="19.26953125" bestFit="1" customWidth="1"/>
    <col min="6" max="7" width="8.08984375" bestFit="1" customWidth="1"/>
    <col min="8" max="8" width="9" bestFit="1" customWidth="1"/>
    <col min="9" max="10" width="9.90625" bestFit="1" customWidth="1"/>
    <col min="11" max="11" width="10.90625" bestFit="1" customWidth="1"/>
  </cols>
  <sheetData>
    <row r="1" spans="1:11" ht="15" thickBot="1" x14ac:dyDescent="0.4"/>
    <row r="2" spans="1:11" ht="15" thickBot="1" x14ac:dyDescent="0.4">
      <c r="A2" s="190" t="s">
        <v>183</v>
      </c>
      <c r="B2" s="192" t="s">
        <v>184</v>
      </c>
      <c r="C2" s="192" t="s">
        <v>185</v>
      </c>
      <c r="D2" s="192" t="s">
        <v>186</v>
      </c>
      <c r="E2" s="194" t="s">
        <v>187</v>
      </c>
      <c r="F2" s="195" t="s">
        <v>188</v>
      </c>
      <c r="G2" s="196"/>
      <c r="H2" s="196"/>
      <c r="I2" s="196"/>
      <c r="J2" s="197"/>
      <c r="K2" s="188" t="s">
        <v>3</v>
      </c>
    </row>
    <row r="3" spans="1:11" ht="15" thickBot="1" x14ac:dyDescent="0.4">
      <c r="A3" s="191"/>
      <c r="B3" s="193"/>
      <c r="C3" s="193"/>
      <c r="D3" s="193"/>
      <c r="E3" s="193"/>
      <c r="F3" s="95">
        <v>45809</v>
      </c>
      <c r="G3" s="96">
        <v>45839</v>
      </c>
      <c r="H3" s="96">
        <v>45870</v>
      </c>
      <c r="I3" s="97">
        <v>45901</v>
      </c>
      <c r="J3" s="97">
        <v>45931</v>
      </c>
      <c r="K3" s="189"/>
    </row>
    <row r="4" spans="1:11" ht="18.5" x14ac:dyDescent="0.45">
      <c r="A4" s="98" t="s">
        <v>170</v>
      </c>
      <c r="B4" s="99" t="s">
        <v>189</v>
      </c>
      <c r="C4" s="99" t="s">
        <v>190</v>
      </c>
      <c r="D4" s="100">
        <v>10096</v>
      </c>
      <c r="E4" s="101" t="s">
        <v>191</v>
      </c>
      <c r="F4" s="102">
        <v>0</v>
      </c>
      <c r="G4" s="103">
        <v>0</v>
      </c>
      <c r="H4" s="102">
        <v>0</v>
      </c>
      <c r="I4" s="104">
        <v>0</v>
      </c>
      <c r="J4" s="105">
        <v>18232.599999999999</v>
      </c>
      <c r="K4" s="106">
        <f>SUM(F4:J4)</f>
        <v>18232.599999999999</v>
      </c>
    </row>
    <row r="5" spans="1:11" ht="18.5" x14ac:dyDescent="0.45">
      <c r="A5" s="107" t="s">
        <v>170</v>
      </c>
      <c r="B5" s="108" t="s">
        <v>192</v>
      </c>
      <c r="C5" s="108" t="s">
        <v>193</v>
      </c>
      <c r="D5" s="109">
        <v>10097</v>
      </c>
      <c r="E5" s="110" t="s">
        <v>191</v>
      </c>
      <c r="F5" s="111"/>
      <c r="G5" s="112"/>
      <c r="H5" s="111"/>
      <c r="I5" s="113">
        <v>175500</v>
      </c>
      <c r="J5" s="114">
        <v>175500</v>
      </c>
      <c r="K5" s="114">
        <f t="shared" ref="K5:K13" si="0">SUM(F5:J5)</f>
        <v>351000</v>
      </c>
    </row>
    <row r="6" spans="1:11" ht="18.5" x14ac:dyDescent="0.45">
      <c r="A6" s="107" t="s">
        <v>194</v>
      </c>
      <c r="B6" s="108" t="s">
        <v>195</v>
      </c>
      <c r="C6" s="108" t="s">
        <v>196</v>
      </c>
      <c r="D6" s="109">
        <v>10029</v>
      </c>
      <c r="E6" s="110" t="s">
        <v>191</v>
      </c>
      <c r="F6" s="111"/>
      <c r="G6" s="112"/>
      <c r="H6" s="111"/>
      <c r="I6" s="115">
        <v>19326.12</v>
      </c>
      <c r="J6" s="114">
        <v>19326.12</v>
      </c>
      <c r="K6" s="114">
        <f t="shared" si="0"/>
        <v>38652.239999999998</v>
      </c>
    </row>
    <row r="7" spans="1:11" ht="18.5" x14ac:dyDescent="0.45">
      <c r="A7" s="107" t="s">
        <v>194</v>
      </c>
      <c r="B7" s="108" t="s">
        <v>197</v>
      </c>
      <c r="C7" s="108" t="s">
        <v>198</v>
      </c>
      <c r="D7" s="109">
        <v>10030</v>
      </c>
      <c r="E7" s="110" t="s">
        <v>191</v>
      </c>
      <c r="F7" s="111"/>
      <c r="G7" s="112"/>
      <c r="H7" s="116">
        <v>38600</v>
      </c>
      <c r="I7" s="113">
        <v>36800</v>
      </c>
      <c r="J7" s="114">
        <v>36800</v>
      </c>
      <c r="K7" s="114">
        <f t="shared" si="0"/>
        <v>112200</v>
      </c>
    </row>
    <row r="8" spans="1:11" ht="18.5" x14ac:dyDescent="0.45">
      <c r="A8" s="107" t="s">
        <v>194</v>
      </c>
      <c r="B8" s="108" t="s">
        <v>197</v>
      </c>
      <c r="C8" s="108" t="s">
        <v>199</v>
      </c>
      <c r="D8" s="109">
        <v>10031</v>
      </c>
      <c r="E8" s="110" t="s">
        <v>191</v>
      </c>
      <c r="F8" s="111"/>
      <c r="G8" s="112"/>
      <c r="H8" s="111"/>
      <c r="I8" s="113">
        <v>0</v>
      </c>
      <c r="J8" s="114">
        <v>44149.32</v>
      </c>
      <c r="K8" s="114">
        <f t="shared" si="0"/>
        <v>44149.32</v>
      </c>
    </row>
    <row r="9" spans="1:11" ht="18.5" x14ac:dyDescent="0.45">
      <c r="A9" s="107" t="s">
        <v>194</v>
      </c>
      <c r="B9" s="108" t="s">
        <v>200</v>
      </c>
      <c r="C9" s="108" t="s">
        <v>201</v>
      </c>
      <c r="D9" s="109">
        <v>10031</v>
      </c>
      <c r="E9" s="110" t="s">
        <v>191</v>
      </c>
      <c r="F9" s="111"/>
      <c r="G9" s="112"/>
      <c r="H9" s="111"/>
      <c r="I9" s="113"/>
      <c r="J9" s="114">
        <v>6753.2865833205005</v>
      </c>
      <c r="K9" s="114">
        <f t="shared" si="0"/>
        <v>6753.2865833205005</v>
      </c>
    </row>
    <row r="10" spans="1:11" ht="18.5" x14ac:dyDescent="0.45">
      <c r="A10" s="107" t="s">
        <v>194</v>
      </c>
      <c r="B10" s="108" t="s">
        <v>200</v>
      </c>
      <c r="C10" s="108" t="s">
        <v>202</v>
      </c>
      <c r="D10" s="109">
        <v>10032</v>
      </c>
      <c r="E10" s="110" t="s">
        <v>191</v>
      </c>
      <c r="F10" s="111"/>
      <c r="G10" s="112"/>
      <c r="H10" s="116">
        <v>8784.5</v>
      </c>
      <c r="I10" s="112">
        <v>8784.5</v>
      </c>
      <c r="J10" s="111">
        <v>8784.5</v>
      </c>
      <c r="K10" s="114">
        <f t="shared" si="0"/>
        <v>26353.5</v>
      </c>
    </row>
    <row r="11" spans="1:11" ht="18.5" x14ac:dyDescent="0.45">
      <c r="A11" s="107" t="s">
        <v>203</v>
      </c>
      <c r="B11" s="108" t="s">
        <v>204</v>
      </c>
      <c r="C11" s="108" t="s">
        <v>205</v>
      </c>
      <c r="D11" s="109">
        <v>10025</v>
      </c>
      <c r="E11" s="110" t="s">
        <v>191</v>
      </c>
      <c r="F11" s="111">
        <v>0</v>
      </c>
      <c r="G11" s="112">
        <v>0</v>
      </c>
      <c r="H11" s="111">
        <v>0</v>
      </c>
      <c r="I11" s="113">
        <v>79408.399999999994</v>
      </c>
      <c r="J11" s="114">
        <v>79408.399999999994</v>
      </c>
      <c r="K11" s="114">
        <f t="shared" si="0"/>
        <v>158816.79999999999</v>
      </c>
    </row>
    <row r="12" spans="1:11" ht="19" thickBot="1" x14ac:dyDescent="0.5">
      <c r="A12" s="117" t="s">
        <v>173</v>
      </c>
      <c r="B12" s="118" t="s">
        <v>197</v>
      </c>
      <c r="C12" s="118" t="s">
        <v>206</v>
      </c>
      <c r="D12" s="119">
        <v>10028</v>
      </c>
      <c r="E12" s="120" t="s">
        <v>191</v>
      </c>
      <c r="F12" s="121">
        <v>0</v>
      </c>
      <c r="G12" s="122">
        <v>0</v>
      </c>
      <c r="H12" s="121">
        <v>0</v>
      </c>
      <c r="I12" s="123">
        <v>0</v>
      </c>
      <c r="J12" s="124">
        <v>55527.906308456448</v>
      </c>
      <c r="K12" s="124">
        <f t="shared" si="0"/>
        <v>55527.906308456448</v>
      </c>
    </row>
    <row r="13" spans="1:11" ht="15" thickBot="1" x14ac:dyDescent="0.4">
      <c r="A13" s="125"/>
      <c r="B13" s="126"/>
      <c r="C13" s="126"/>
      <c r="D13" s="126"/>
      <c r="E13" s="126"/>
      <c r="F13" s="127">
        <f>SUM(F4:F12)</f>
        <v>0</v>
      </c>
      <c r="G13" s="127">
        <f t="shared" ref="G13:J13" si="1">SUM(G4:G12)</f>
        <v>0</v>
      </c>
      <c r="H13" s="127">
        <f t="shared" si="1"/>
        <v>47384.5</v>
      </c>
      <c r="I13" s="127">
        <f t="shared" si="1"/>
        <v>319819.02</v>
      </c>
      <c r="J13" s="128">
        <f t="shared" si="1"/>
        <v>444482.13289177697</v>
      </c>
      <c r="K13" s="129">
        <f t="shared" si="0"/>
        <v>811685.65289177699</v>
      </c>
    </row>
  </sheetData>
  <mergeCells count="7">
    <mergeCell ref="K2:K3"/>
    <mergeCell ref="A2:A3"/>
    <mergeCell ref="B2:B3"/>
    <mergeCell ref="C2:C3"/>
    <mergeCell ref="D2:D3"/>
    <mergeCell ref="E2:E3"/>
    <mergeCell ref="F2:J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B894-6D72-463D-A336-886444F60940}">
  <sheetPr>
    <pageSetUpPr fitToPage="1"/>
  </sheetPr>
  <dimension ref="B2:L45"/>
  <sheetViews>
    <sheetView rightToLeft="1" topLeftCell="A12" zoomScale="70" zoomScaleNormal="70" workbookViewId="0">
      <selection activeCell="C22" sqref="C22"/>
    </sheetView>
  </sheetViews>
  <sheetFormatPr defaultColWidth="9.1796875" defaultRowHeight="27" customHeight="1" x14ac:dyDescent="0.35"/>
  <cols>
    <col min="1" max="1" width="9.1796875" style="8"/>
    <col min="2" max="2" width="55.453125" style="8" bestFit="1" customWidth="1"/>
    <col min="3" max="3" width="21.26953125" style="10" customWidth="1"/>
    <col min="4" max="4" width="26" style="10" bestFit="1" customWidth="1"/>
    <col min="5" max="5" width="30.08984375" style="32" bestFit="1" customWidth="1"/>
    <col min="6" max="6" width="47.08984375" style="10" bestFit="1" customWidth="1"/>
    <col min="7" max="7" width="19.7265625" style="8" bestFit="1" customWidth="1"/>
    <col min="8" max="8" width="18.26953125" style="8" bestFit="1" customWidth="1"/>
    <col min="9" max="9" width="9.1796875" style="10"/>
    <col min="10" max="10" width="20.453125" style="10" bestFit="1" customWidth="1"/>
    <col min="11" max="11" width="9.1796875" style="10"/>
    <col min="12" max="12" width="12" style="10" bestFit="1" customWidth="1"/>
    <col min="13" max="16384" width="9.1796875" style="8"/>
  </cols>
  <sheetData>
    <row r="2" spans="2:8" ht="27" customHeight="1" x14ac:dyDescent="0.35">
      <c r="B2" s="5" t="s">
        <v>39</v>
      </c>
      <c r="C2" s="6" t="s">
        <v>40</v>
      </c>
      <c r="D2" s="6" t="s">
        <v>41</v>
      </c>
      <c r="E2" s="7" t="s">
        <v>42</v>
      </c>
      <c r="F2" s="6" t="s">
        <v>43</v>
      </c>
    </row>
    <row r="3" spans="2:8" s="10" customFormat="1" ht="27" customHeight="1" x14ac:dyDescent="0.35">
      <c r="B3" s="5" t="s">
        <v>44</v>
      </c>
      <c r="C3" s="6">
        <v>146959.73000000001</v>
      </c>
      <c r="D3" s="6"/>
      <c r="E3" s="7"/>
      <c r="F3" s="9">
        <v>45799</v>
      </c>
      <c r="G3" s="8"/>
    </row>
    <row r="4" spans="2:8" s="10" customFormat="1" ht="27" customHeight="1" x14ac:dyDescent="0.35">
      <c r="B4" s="5" t="s">
        <v>44</v>
      </c>
      <c r="C4" s="6">
        <v>150655.38</v>
      </c>
      <c r="D4" s="6"/>
      <c r="E4" s="7"/>
      <c r="F4" s="9">
        <v>45830</v>
      </c>
      <c r="G4" s="8"/>
    </row>
    <row r="5" spans="2:8" s="10" customFormat="1" ht="27" customHeight="1" x14ac:dyDescent="0.35">
      <c r="B5" s="5" t="s">
        <v>44</v>
      </c>
      <c r="C5" s="6">
        <v>125607.08</v>
      </c>
      <c r="D5" s="6"/>
      <c r="E5" s="7"/>
      <c r="F5" s="9">
        <v>45859</v>
      </c>
      <c r="G5" s="8"/>
    </row>
    <row r="6" spans="2:8" s="10" customFormat="1" ht="27" customHeight="1" thickBot="1" x14ac:dyDescent="0.4">
      <c r="B6" s="11" t="s">
        <v>44</v>
      </c>
      <c r="C6" s="12">
        <v>133787.94</v>
      </c>
      <c r="D6" s="12"/>
      <c r="E6" s="13"/>
      <c r="F6" s="14">
        <v>45890</v>
      </c>
      <c r="G6" s="8"/>
    </row>
    <row r="7" spans="2:8" s="10" customFormat="1" ht="27" customHeight="1" thickTop="1" thickBot="1" x14ac:dyDescent="0.4">
      <c r="B7" s="15" t="s">
        <v>45</v>
      </c>
      <c r="C7" s="16">
        <f>SUM(C3:C6)</f>
        <v>557010.13</v>
      </c>
      <c r="D7" s="16"/>
      <c r="E7" s="17"/>
      <c r="F7" s="18"/>
      <c r="G7" s="8"/>
    </row>
    <row r="8" spans="2:8" s="10" customFormat="1" ht="27" customHeight="1" thickTop="1" x14ac:dyDescent="0.35">
      <c r="B8" s="19" t="s">
        <v>46</v>
      </c>
      <c r="C8" s="20">
        <v>48965</v>
      </c>
      <c r="D8" s="20"/>
      <c r="E8" s="21"/>
      <c r="F8" s="22">
        <v>45823</v>
      </c>
      <c r="G8" s="8"/>
    </row>
    <row r="9" spans="2:8" s="10" customFormat="1" ht="27" customHeight="1" x14ac:dyDescent="0.35">
      <c r="B9" s="5" t="s">
        <v>46</v>
      </c>
      <c r="C9" s="6">
        <v>54630.2</v>
      </c>
      <c r="D9" s="6"/>
      <c r="E9" s="7"/>
      <c r="F9" s="9">
        <v>45838</v>
      </c>
      <c r="G9" s="8"/>
    </row>
    <row r="10" spans="2:8" s="10" customFormat="1" ht="27" customHeight="1" x14ac:dyDescent="0.35">
      <c r="B10" s="5" t="s">
        <v>46</v>
      </c>
      <c r="C10" s="6">
        <v>62035.69</v>
      </c>
      <c r="D10" s="6"/>
      <c r="E10" s="7"/>
      <c r="F10" s="9">
        <v>45853</v>
      </c>
      <c r="G10" s="8"/>
    </row>
    <row r="11" spans="2:8" s="10" customFormat="1" ht="27" customHeight="1" thickBot="1" x14ac:dyDescent="0.4">
      <c r="B11" s="5" t="s">
        <v>46</v>
      </c>
      <c r="C11" s="6">
        <v>60274.58</v>
      </c>
      <c r="D11" s="6"/>
      <c r="E11" s="7"/>
      <c r="F11" s="9">
        <v>45869</v>
      </c>
      <c r="G11" s="8"/>
    </row>
    <row r="12" spans="2:8" s="10" customFormat="1" ht="27" customHeight="1" thickTop="1" thickBot="1" x14ac:dyDescent="0.4">
      <c r="B12" s="15" t="s">
        <v>45</v>
      </c>
      <c r="C12" s="16">
        <f>SUM(C8:C11)</f>
        <v>225905.47000000003</v>
      </c>
      <c r="D12" s="16"/>
      <c r="E12" s="17"/>
      <c r="F12" s="18"/>
      <c r="G12" s="8"/>
    </row>
    <row r="13" spans="2:8" s="10" customFormat="1" ht="27" customHeight="1" thickTop="1" x14ac:dyDescent="0.35">
      <c r="B13" s="5" t="s">
        <v>47</v>
      </c>
      <c r="C13" s="6">
        <f t="shared" ref="C13:C17" si="0">+D13*E13</f>
        <v>1213055</v>
      </c>
      <c r="D13" s="6">
        <v>242611</v>
      </c>
      <c r="E13" s="7">
        <v>5</v>
      </c>
      <c r="F13" s="9" t="s">
        <v>48</v>
      </c>
      <c r="G13" s="38">
        <f>+C13/E13</f>
        <v>242611</v>
      </c>
      <c r="H13" s="39">
        <f>+G13*2</f>
        <v>485222</v>
      </c>
    </row>
    <row r="14" spans="2:8" s="10" customFormat="1" ht="27" customHeight="1" x14ac:dyDescent="0.35">
      <c r="B14" s="5" t="s">
        <v>49</v>
      </c>
      <c r="C14" s="6">
        <f t="shared" si="0"/>
        <v>1452000</v>
      </c>
      <c r="D14" s="6">
        <v>290400</v>
      </c>
      <c r="E14" s="7">
        <v>5</v>
      </c>
      <c r="F14" s="9" t="s">
        <v>48</v>
      </c>
      <c r="G14" s="38">
        <f t="shared" ref="G14:G17" si="1">+C14/E14</f>
        <v>290400</v>
      </c>
      <c r="H14" s="39">
        <f t="shared" ref="H14:H15" si="2">+G14*2</f>
        <v>580800</v>
      </c>
    </row>
    <row r="15" spans="2:8" s="10" customFormat="1" ht="27" customHeight="1" x14ac:dyDescent="0.35">
      <c r="B15" s="5" t="s">
        <v>50</v>
      </c>
      <c r="C15" s="6">
        <f t="shared" si="0"/>
        <v>1273836</v>
      </c>
      <c r="D15" s="6">
        <v>212306</v>
      </c>
      <c r="E15" s="7">
        <v>6</v>
      </c>
      <c r="F15" s="6" t="s">
        <v>51</v>
      </c>
      <c r="G15" s="38">
        <f t="shared" si="1"/>
        <v>212306</v>
      </c>
      <c r="H15" s="39">
        <f t="shared" si="2"/>
        <v>424612</v>
      </c>
    </row>
    <row r="16" spans="2:8" s="10" customFormat="1" ht="27" customHeight="1" x14ac:dyDescent="0.35">
      <c r="B16" s="5" t="s">
        <v>52</v>
      </c>
      <c r="C16" s="6">
        <f t="shared" si="0"/>
        <v>3898800</v>
      </c>
      <c r="D16" s="6">
        <v>1299600</v>
      </c>
      <c r="E16" s="7">
        <v>3</v>
      </c>
      <c r="F16" s="6" t="s">
        <v>53</v>
      </c>
      <c r="G16" s="38">
        <f t="shared" si="1"/>
        <v>1299600</v>
      </c>
      <c r="H16" s="39">
        <f>+G16*1</f>
        <v>1299600</v>
      </c>
    </row>
    <row r="17" spans="2:8" s="10" customFormat="1" ht="27" customHeight="1" x14ac:dyDescent="0.35">
      <c r="B17" s="5" t="s">
        <v>54</v>
      </c>
      <c r="C17" s="6">
        <f t="shared" si="0"/>
        <v>70057.19</v>
      </c>
      <c r="D17" s="6">
        <v>70057.19</v>
      </c>
      <c r="E17" s="7">
        <v>1</v>
      </c>
      <c r="F17" s="6" t="s">
        <v>55</v>
      </c>
      <c r="G17" s="38">
        <f t="shared" si="1"/>
        <v>70057.19</v>
      </c>
      <c r="H17" s="39">
        <f>+G17*1</f>
        <v>70057.19</v>
      </c>
    </row>
    <row r="18" spans="2:8" s="10" customFormat="1" ht="27" customHeight="1" thickBot="1" x14ac:dyDescent="0.4">
      <c r="B18" s="6" t="s">
        <v>56</v>
      </c>
      <c r="C18" s="6">
        <v>3150000</v>
      </c>
      <c r="D18" s="6"/>
      <c r="E18" s="7"/>
      <c r="F18" s="6"/>
      <c r="G18" s="8"/>
      <c r="H18" s="10">
        <v>1000000</v>
      </c>
    </row>
    <row r="19" spans="2:8" s="10" customFormat="1" ht="27" customHeight="1" thickTop="1" thickBot="1" x14ac:dyDescent="0.4">
      <c r="B19" s="15" t="s">
        <v>45</v>
      </c>
      <c r="C19" s="16">
        <f>SUM(C13:C18)</f>
        <v>11057748.190000001</v>
      </c>
      <c r="D19" s="16"/>
      <c r="E19" s="17"/>
      <c r="F19" s="18"/>
      <c r="G19" s="8"/>
    </row>
    <row r="20" spans="2:8" s="10" customFormat="1" ht="27" customHeight="1" thickTop="1" x14ac:dyDescent="0.35">
      <c r="B20" s="5" t="s">
        <v>57</v>
      </c>
      <c r="C20" s="6">
        <v>2500000</v>
      </c>
      <c r="D20" s="6"/>
      <c r="E20" s="7"/>
      <c r="F20" s="9" t="s">
        <v>58</v>
      </c>
      <c r="G20" s="8"/>
    </row>
    <row r="21" spans="2:8" s="10" customFormat="1" ht="27" customHeight="1" x14ac:dyDescent="0.35">
      <c r="B21" s="5" t="s">
        <v>59</v>
      </c>
      <c r="C21" s="6">
        <v>7500000</v>
      </c>
      <c r="D21" s="6"/>
      <c r="E21" s="7"/>
      <c r="F21" s="9" t="s">
        <v>60</v>
      </c>
      <c r="G21" s="8"/>
    </row>
    <row r="22" spans="2:8" s="10" customFormat="1" ht="27" customHeight="1" thickBot="1" x14ac:dyDescent="0.4">
      <c r="B22" s="5" t="s">
        <v>61</v>
      </c>
      <c r="C22" s="6">
        <f>3800000+1750000</f>
        <v>5550000</v>
      </c>
      <c r="D22" s="6"/>
      <c r="E22" s="7"/>
      <c r="F22" s="9"/>
      <c r="G22" s="8"/>
    </row>
    <row r="23" spans="2:8" s="10" customFormat="1" ht="27" customHeight="1" thickTop="1" thickBot="1" x14ac:dyDescent="0.4">
      <c r="B23" s="15" t="s">
        <v>45</v>
      </c>
      <c r="C23" s="16">
        <f>SUM(C20:C22)</f>
        <v>15550000</v>
      </c>
      <c r="D23" s="16">
        <f>SUM(D20:D22)</f>
        <v>0</v>
      </c>
      <c r="E23" s="17"/>
      <c r="F23" s="18"/>
      <c r="G23" s="8"/>
    </row>
    <row r="24" spans="2:8" s="10" customFormat="1" ht="27" customHeight="1" thickTop="1" x14ac:dyDescent="0.35">
      <c r="B24" s="23" t="s">
        <v>62</v>
      </c>
      <c r="C24" s="24"/>
      <c r="D24" s="24"/>
      <c r="E24" s="25"/>
      <c r="F24" s="26"/>
      <c r="G24" s="8"/>
    </row>
    <row r="25" spans="2:8" s="10" customFormat="1" ht="27" customHeight="1" x14ac:dyDescent="0.35">
      <c r="B25" s="5" t="s">
        <v>63</v>
      </c>
      <c r="C25" s="6">
        <v>25783995</v>
      </c>
      <c r="D25" s="6"/>
      <c r="E25" s="7"/>
      <c r="F25" s="9" t="s">
        <v>64</v>
      </c>
      <c r="G25" s="8"/>
    </row>
    <row r="26" spans="2:8" s="10" customFormat="1" ht="27" customHeight="1" x14ac:dyDescent="0.35">
      <c r="B26" s="5" t="s">
        <v>65</v>
      </c>
      <c r="C26" s="6">
        <v>29122009.210000001</v>
      </c>
      <c r="D26" s="6"/>
      <c r="E26" s="7"/>
      <c r="F26" s="9" t="s">
        <v>64</v>
      </c>
      <c r="G26" s="8"/>
    </row>
    <row r="27" spans="2:8" s="10" customFormat="1" ht="27" customHeight="1" x14ac:dyDescent="0.35">
      <c r="B27" s="5" t="s">
        <v>66</v>
      </c>
      <c r="C27" s="6">
        <v>13655884</v>
      </c>
      <c r="D27" s="6"/>
      <c r="E27" s="7"/>
      <c r="F27" s="9" t="s">
        <v>64</v>
      </c>
      <c r="G27" s="8"/>
    </row>
    <row r="28" spans="2:8" s="10" customFormat="1" ht="27" customHeight="1" x14ac:dyDescent="0.35">
      <c r="B28" s="5" t="s">
        <v>67</v>
      </c>
      <c r="C28" s="6">
        <v>16504097</v>
      </c>
      <c r="D28" s="6"/>
      <c r="E28" s="7"/>
      <c r="F28" s="9" t="s">
        <v>64</v>
      </c>
      <c r="G28" s="8"/>
    </row>
    <row r="29" spans="2:8" s="10" customFormat="1" ht="27" customHeight="1" thickBot="1" x14ac:dyDescent="0.4">
      <c r="B29" s="6" t="s">
        <v>68</v>
      </c>
      <c r="C29" s="6">
        <v>8811090</v>
      </c>
      <c r="D29" s="24"/>
      <c r="E29" s="25"/>
      <c r="F29" s="9" t="s">
        <v>64</v>
      </c>
      <c r="G29" s="8"/>
    </row>
    <row r="30" spans="2:8" s="31" customFormat="1" ht="27" customHeight="1" thickTop="1" thickBot="1" x14ac:dyDescent="0.4">
      <c r="B30" s="27" t="s">
        <v>69</v>
      </c>
      <c r="C30" s="28">
        <f>C23+C19+C12+C7+C25+C26+C27+C28+C29</f>
        <v>121267739</v>
      </c>
      <c r="D30" s="28"/>
      <c r="E30" s="29"/>
      <c r="F30" s="30"/>
      <c r="G30" s="8"/>
    </row>
    <row r="31" spans="2:8" s="10" customFormat="1" ht="27" customHeight="1" thickTop="1" x14ac:dyDescent="0.35">
      <c r="B31" s="8"/>
      <c r="E31" s="32"/>
      <c r="G31" s="8"/>
    </row>
    <row r="32" spans="2:8" s="10" customFormat="1" ht="27" customHeight="1" x14ac:dyDescent="0.35">
      <c r="B32" s="8"/>
      <c r="E32" s="32"/>
      <c r="G32" s="8"/>
    </row>
    <row r="33" spans="2:7" s="10" customFormat="1" ht="27" customHeight="1" x14ac:dyDescent="0.35">
      <c r="B33" s="8"/>
      <c r="E33" s="32"/>
      <c r="G33" s="8"/>
    </row>
    <row r="34" spans="2:7" s="10" customFormat="1" ht="27" customHeight="1" x14ac:dyDescent="0.35">
      <c r="B34" s="8"/>
      <c r="G34" s="8"/>
    </row>
    <row r="35" spans="2:7" s="10" customFormat="1" ht="27" customHeight="1" x14ac:dyDescent="0.35">
      <c r="B35" s="8"/>
      <c r="C35" s="6" t="s">
        <v>62</v>
      </c>
      <c r="D35" s="6"/>
      <c r="E35" s="6"/>
      <c r="F35" s="33">
        <v>45932.113854050927</v>
      </c>
      <c r="G35" s="8"/>
    </row>
    <row r="36" spans="2:7" s="10" customFormat="1" ht="27" customHeight="1" x14ac:dyDescent="0.35">
      <c r="B36" s="8"/>
      <c r="C36" s="6" t="s">
        <v>38</v>
      </c>
      <c r="D36" s="6" t="s">
        <v>70</v>
      </c>
      <c r="E36" s="6" t="s">
        <v>71</v>
      </c>
      <c r="F36" s="6" t="s">
        <v>72</v>
      </c>
      <c r="G36" s="8"/>
    </row>
    <row r="37" spans="2:7" s="10" customFormat="1" ht="27" customHeight="1" x14ac:dyDescent="0.35">
      <c r="B37" s="8"/>
      <c r="C37" s="6" t="s">
        <v>63</v>
      </c>
      <c r="D37" s="6">
        <v>103687608.31999999</v>
      </c>
      <c r="E37" s="6">
        <v>77903613.319999993</v>
      </c>
      <c r="F37" s="6">
        <f>D37-E37</f>
        <v>25783995</v>
      </c>
      <c r="G37" s="8"/>
    </row>
    <row r="38" spans="2:7" s="10" customFormat="1" ht="27" customHeight="1" x14ac:dyDescent="0.35">
      <c r="B38" s="8"/>
      <c r="C38" s="6" t="s">
        <v>65</v>
      </c>
      <c r="D38" s="6">
        <v>31500631.209999997</v>
      </c>
      <c r="E38" s="6">
        <v>812319</v>
      </c>
      <c r="F38" s="6">
        <v>29122009.210000001</v>
      </c>
      <c r="G38" s="8"/>
    </row>
    <row r="39" spans="2:7" s="10" customFormat="1" ht="27" customHeight="1" x14ac:dyDescent="0.35">
      <c r="B39" s="8"/>
      <c r="C39" s="6" t="s">
        <v>66</v>
      </c>
      <c r="D39" s="6">
        <v>40694006</v>
      </c>
      <c r="E39" s="6">
        <v>27038122</v>
      </c>
      <c r="F39" s="6">
        <f t="shared" ref="F39:F42" si="3">D39-E39</f>
        <v>13655884</v>
      </c>
      <c r="G39" s="8"/>
    </row>
    <row r="40" spans="2:7" s="10" customFormat="1" ht="27" customHeight="1" x14ac:dyDescent="0.35">
      <c r="B40" s="8"/>
      <c r="C40" s="6" t="s">
        <v>67</v>
      </c>
      <c r="D40" s="6">
        <v>24220450</v>
      </c>
      <c r="E40" s="6">
        <v>7716353</v>
      </c>
      <c r="F40" s="6">
        <f t="shared" si="3"/>
        <v>16504097</v>
      </c>
      <c r="G40" s="8"/>
    </row>
    <row r="41" spans="2:7" s="10" customFormat="1" ht="27" customHeight="1" x14ac:dyDescent="0.35">
      <c r="B41" s="8"/>
      <c r="C41" s="6" t="s">
        <v>68</v>
      </c>
      <c r="D41" s="6">
        <v>15633492</v>
      </c>
      <c r="E41" s="6">
        <v>6822402</v>
      </c>
      <c r="F41" s="6">
        <f t="shared" si="3"/>
        <v>8811090</v>
      </c>
      <c r="G41" s="8"/>
    </row>
    <row r="42" spans="2:7" s="10" customFormat="1" ht="27" customHeight="1" x14ac:dyDescent="0.35">
      <c r="B42" s="8"/>
      <c r="C42" s="6" t="s">
        <v>73</v>
      </c>
      <c r="D42" s="6">
        <v>2665439</v>
      </c>
      <c r="E42" s="6">
        <v>2665439</v>
      </c>
      <c r="F42" s="6">
        <f t="shared" si="3"/>
        <v>0</v>
      </c>
      <c r="G42" s="8"/>
    </row>
    <row r="43" spans="2:7" s="10" customFormat="1" ht="27" customHeight="1" x14ac:dyDescent="0.35">
      <c r="B43" s="8"/>
      <c r="C43" s="6" t="s">
        <v>69</v>
      </c>
      <c r="D43" s="6">
        <f>SUM(D37:D42)</f>
        <v>218401626.53</v>
      </c>
      <c r="E43" s="6">
        <f>SUM(E37:E42)</f>
        <v>122958248.31999999</v>
      </c>
      <c r="F43" s="6">
        <f>SUM(F37:F42)</f>
        <v>93877075.210000008</v>
      </c>
      <c r="G43" s="8"/>
    </row>
    <row r="44" spans="2:7" s="10" customFormat="1" ht="27" customHeight="1" x14ac:dyDescent="0.35">
      <c r="B44" s="8"/>
      <c r="G44" s="8"/>
    </row>
    <row r="45" spans="2:7" s="10" customFormat="1" ht="27" customHeight="1" x14ac:dyDescent="0.35">
      <c r="B45" s="8"/>
      <c r="C45" s="198"/>
      <c r="D45" s="198"/>
      <c r="E45" s="198"/>
      <c r="G45" s="8"/>
    </row>
  </sheetData>
  <mergeCells count="1">
    <mergeCell ref="C45:E45"/>
  </mergeCells>
  <pageMargins left="0.7" right="0.7" top="0.75" bottom="0.75" header="0.3" footer="0.3"/>
  <pageSetup scale="30" orientation="portrait" r:id="rId1"/>
  <colBreaks count="1" manualBreakCount="1">
    <brk id="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CFAE-EA1C-4724-8DA6-ED04D3EA491E}">
  <sheetPr>
    <pageSetUpPr fitToPage="1"/>
  </sheetPr>
  <dimension ref="A1:K17"/>
  <sheetViews>
    <sheetView rightToLeft="1" zoomScale="70" zoomScaleNormal="70" workbookViewId="0">
      <selection activeCell="B16" sqref="B16:D16"/>
    </sheetView>
  </sheetViews>
  <sheetFormatPr defaultColWidth="9.1796875" defaultRowHeight="27" customHeight="1" x14ac:dyDescent="0.35"/>
  <cols>
    <col min="1" max="1" width="46.26953125" style="8" customWidth="1"/>
    <col min="2" max="2" width="62.453125" style="10" bestFit="1" customWidth="1"/>
    <col min="3" max="3" width="26" style="10" bestFit="1" customWidth="1"/>
    <col min="4" max="4" width="30.08984375" style="32" bestFit="1" customWidth="1"/>
    <col min="5" max="5" width="47.08984375" style="10" bestFit="1" customWidth="1"/>
    <col min="6" max="6" width="19.7265625" style="8" bestFit="1" customWidth="1"/>
    <col min="7" max="7" width="16" style="8" bestFit="1" customWidth="1"/>
    <col min="8" max="8" width="9.1796875" style="10"/>
    <col min="9" max="9" width="20.453125" style="10" bestFit="1" customWidth="1"/>
    <col min="10" max="10" width="9.1796875" style="10"/>
    <col min="11" max="11" width="12" style="10" bestFit="1" customWidth="1"/>
    <col min="12" max="16384" width="9.1796875" style="8"/>
  </cols>
  <sheetData>
    <row r="1" spans="1:6" s="10" customFormat="1" ht="27" customHeight="1" x14ac:dyDescent="0.35">
      <c r="A1" s="8"/>
      <c r="F1" s="8"/>
    </row>
    <row r="2" spans="1:6" ht="27" customHeight="1" x14ac:dyDescent="0.35">
      <c r="B2" s="199" t="s">
        <v>63</v>
      </c>
      <c r="C2" s="200"/>
      <c r="D2" s="200"/>
      <c r="E2" s="201"/>
    </row>
    <row r="3" spans="1:6" ht="27" customHeight="1" x14ac:dyDescent="0.35">
      <c r="B3" s="6" t="s">
        <v>74</v>
      </c>
      <c r="C3" s="6" t="s">
        <v>75</v>
      </c>
      <c r="D3" s="7" t="s">
        <v>76</v>
      </c>
      <c r="E3" s="6" t="s">
        <v>77</v>
      </c>
    </row>
    <row r="4" spans="1:6" ht="27" customHeight="1" x14ac:dyDescent="0.35">
      <c r="B4" s="33">
        <v>45777</v>
      </c>
      <c r="C4" s="34">
        <v>2926230</v>
      </c>
      <c r="D4" s="7" t="s">
        <v>78</v>
      </c>
      <c r="E4" s="6">
        <v>8653843</v>
      </c>
    </row>
    <row r="5" spans="1:6" ht="27" customHeight="1" x14ac:dyDescent="0.35">
      <c r="B5" s="33">
        <v>45843</v>
      </c>
      <c r="C5" s="34">
        <v>2880706</v>
      </c>
      <c r="D5" s="7" t="s">
        <v>78</v>
      </c>
      <c r="E5" s="6">
        <v>3765420</v>
      </c>
    </row>
    <row r="6" spans="1:6" ht="27" customHeight="1" x14ac:dyDescent="0.35">
      <c r="B6" s="33">
        <v>45843</v>
      </c>
      <c r="C6" s="34">
        <v>2925810</v>
      </c>
      <c r="D6" s="7" t="s">
        <v>78</v>
      </c>
      <c r="E6" s="6">
        <v>269210</v>
      </c>
    </row>
    <row r="7" spans="1:6" ht="27" customHeight="1" x14ac:dyDescent="0.35">
      <c r="B7" s="33">
        <v>45843</v>
      </c>
      <c r="C7" s="34">
        <v>2948484</v>
      </c>
      <c r="D7" s="7" t="s">
        <v>78</v>
      </c>
      <c r="E7" s="6">
        <v>184824</v>
      </c>
    </row>
    <row r="8" spans="1:6" ht="27" customHeight="1" x14ac:dyDescent="0.35">
      <c r="B8" s="33">
        <v>45843</v>
      </c>
      <c r="C8" s="34">
        <v>2948915</v>
      </c>
      <c r="D8" s="7" t="s">
        <v>78</v>
      </c>
      <c r="E8" s="6">
        <v>285022</v>
      </c>
    </row>
    <row r="9" spans="1:6" ht="27" customHeight="1" x14ac:dyDescent="0.35">
      <c r="B9" s="33">
        <v>45843</v>
      </c>
      <c r="C9" s="34">
        <v>2949338</v>
      </c>
      <c r="D9" s="7" t="s">
        <v>78</v>
      </c>
      <c r="E9" s="6">
        <v>195058</v>
      </c>
    </row>
    <row r="10" spans="1:6" ht="27" customHeight="1" x14ac:dyDescent="0.35">
      <c r="B10" s="33">
        <v>45843</v>
      </c>
      <c r="C10" s="34">
        <v>3001368</v>
      </c>
      <c r="D10" s="7" t="s">
        <v>78</v>
      </c>
      <c r="E10" s="6">
        <v>893333</v>
      </c>
    </row>
    <row r="11" spans="1:6" ht="27" customHeight="1" x14ac:dyDescent="0.35">
      <c r="B11" s="33">
        <v>45869</v>
      </c>
      <c r="C11" s="34">
        <v>2926231</v>
      </c>
      <c r="D11" s="7" t="s">
        <v>78</v>
      </c>
      <c r="E11" s="6">
        <v>8653843</v>
      </c>
    </row>
    <row r="12" spans="1:6" ht="27" customHeight="1" x14ac:dyDescent="0.35">
      <c r="B12" s="33">
        <v>45869</v>
      </c>
      <c r="C12" s="34">
        <v>2948940</v>
      </c>
      <c r="D12" s="7" t="s">
        <v>78</v>
      </c>
      <c r="E12" s="6">
        <v>986330</v>
      </c>
    </row>
    <row r="13" spans="1:6" ht="27" customHeight="1" x14ac:dyDescent="0.35">
      <c r="B13" s="33">
        <v>45869</v>
      </c>
      <c r="C13" s="34">
        <v>2949292</v>
      </c>
      <c r="D13" s="7" t="s">
        <v>78</v>
      </c>
      <c r="E13" s="6">
        <v>386332</v>
      </c>
    </row>
    <row r="14" spans="1:6" ht="27" customHeight="1" x14ac:dyDescent="0.35">
      <c r="B14" s="33">
        <v>45869</v>
      </c>
      <c r="C14" s="34">
        <v>2949622</v>
      </c>
      <c r="D14" s="7" t="s">
        <v>78</v>
      </c>
      <c r="E14" s="6">
        <v>178497</v>
      </c>
    </row>
    <row r="15" spans="1:6" ht="27" customHeight="1" x14ac:dyDescent="0.35">
      <c r="B15" s="33">
        <v>45869</v>
      </c>
      <c r="C15" s="34">
        <v>3001353</v>
      </c>
      <c r="D15" s="7" t="s">
        <v>78</v>
      </c>
      <c r="E15" s="6">
        <v>1332283</v>
      </c>
    </row>
    <row r="16" spans="1:6" ht="27" customHeight="1" x14ac:dyDescent="0.35">
      <c r="B16" s="199" t="s">
        <v>69</v>
      </c>
      <c r="C16" s="200"/>
      <c r="D16" s="201"/>
      <c r="E16" s="6">
        <f>SUM(E4:E15)</f>
        <v>25783995</v>
      </c>
      <c r="F16" s="35"/>
    </row>
    <row r="17" spans="5:5" ht="27" customHeight="1" x14ac:dyDescent="0.35">
      <c r="E17" s="10">
        <f>E16-UCTD!F37</f>
        <v>0</v>
      </c>
    </row>
  </sheetData>
  <mergeCells count="2">
    <mergeCell ref="B2:E2"/>
    <mergeCell ref="B16:D16"/>
  </mergeCells>
  <pageMargins left="0.7" right="0.7" top="0.75" bottom="0.75" header="0.3" footer="0.3"/>
  <pageSetup scale="30" orientation="portrait" r:id="rId1"/>
  <colBreaks count="1" manualBreakCount="1">
    <brk id="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FDE59-4D03-48F4-9302-BBD98A1F1A81}">
  <sheetPr>
    <pageSetUpPr fitToPage="1"/>
  </sheetPr>
  <dimension ref="B2:K25"/>
  <sheetViews>
    <sheetView rightToLeft="1" zoomScale="70" zoomScaleNormal="70" workbookViewId="0">
      <selection activeCell="B16" sqref="B16:D16"/>
    </sheetView>
  </sheetViews>
  <sheetFormatPr defaultColWidth="9.1796875" defaultRowHeight="27" customHeight="1" x14ac:dyDescent="0.35"/>
  <cols>
    <col min="1" max="1" width="46.26953125" style="8" customWidth="1"/>
    <col min="2" max="2" width="62.453125" style="10" bestFit="1" customWidth="1"/>
    <col min="3" max="3" width="26" style="10" bestFit="1" customWidth="1"/>
    <col min="4" max="4" width="30.08984375" style="32" bestFit="1" customWidth="1"/>
    <col min="5" max="5" width="47.08984375" style="10" bestFit="1" customWidth="1"/>
    <col min="6" max="6" width="19.7265625" style="8" bestFit="1" customWidth="1"/>
    <col min="7" max="7" width="16" style="8" bestFit="1" customWidth="1"/>
    <col min="8" max="8" width="9.1796875" style="10"/>
    <col min="9" max="9" width="20.453125" style="10" bestFit="1" customWidth="1"/>
    <col min="10" max="10" width="9.1796875" style="10"/>
    <col min="11" max="11" width="12" style="10" bestFit="1" customWidth="1"/>
    <col min="12" max="16384" width="9.1796875" style="8"/>
  </cols>
  <sheetData>
    <row r="2" spans="2:5" ht="27" customHeight="1" x14ac:dyDescent="0.35">
      <c r="B2" s="199" t="s">
        <v>65</v>
      </c>
      <c r="C2" s="200"/>
      <c r="D2" s="200"/>
      <c r="E2" s="201"/>
    </row>
    <row r="3" spans="2:5" ht="27" customHeight="1" x14ac:dyDescent="0.35">
      <c r="B3" s="6" t="s">
        <v>74</v>
      </c>
      <c r="C3" s="6" t="s">
        <v>75</v>
      </c>
      <c r="D3" s="7" t="s">
        <v>76</v>
      </c>
      <c r="E3" s="6" t="s">
        <v>77</v>
      </c>
    </row>
    <row r="4" spans="2:5" ht="27" customHeight="1" x14ac:dyDescent="0.35">
      <c r="B4" s="33">
        <v>45672</v>
      </c>
      <c r="C4" s="34">
        <v>1097008</v>
      </c>
      <c r="D4" s="7" t="s">
        <v>79</v>
      </c>
      <c r="E4" s="36">
        <v>3517176.55</v>
      </c>
    </row>
    <row r="5" spans="2:5" ht="27" customHeight="1" x14ac:dyDescent="0.35">
      <c r="B5" s="33">
        <v>45672</v>
      </c>
      <c r="C5" s="34">
        <v>1097009</v>
      </c>
      <c r="D5" s="7" t="s">
        <v>79</v>
      </c>
      <c r="E5" s="36">
        <v>4577528.68</v>
      </c>
    </row>
    <row r="6" spans="2:5" ht="27" customHeight="1" x14ac:dyDescent="0.35">
      <c r="B6" s="33">
        <v>45708</v>
      </c>
      <c r="C6" s="34">
        <v>1096958</v>
      </c>
      <c r="D6" s="7" t="s">
        <v>79</v>
      </c>
      <c r="E6" s="36">
        <v>4577528.68</v>
      </c>
    </row>
    <row r="7" spans="2:5" ht="27" customHeight="1" x14ac:dyDescent="0.35">
      <c r="B7" s="33">
        <v>45713</v>
      </c>
      <c r="C7" s="34">
        <v>1096959</v>
      </c>
      <c r="D7" s="7" t="s">
        <v>79</v>
      </c>
      <c r="E7" s="36">
        <v>3714432.22</v>
      </c>
    </row>
    <row r="8" spans="2:5" ht="27" customHeight="1" x14ac:dyDescent="0.35">
      <c r="B8" s="33">
        <v>45736</v>
      </c>
      <c r="C8" s="34">
        <v>1096960</v>
      </c>
      <c r="D8" s="7" t="s">
        <v>79</v>
      </c>
      <c r="E8" s="36">
        <v>4577528.68</v>
      </c>
    </row>
    <row r="9" spans="2:5" ht="27" customHeight="1" x14ac:dyDescent="0.35">
      <c r="B9" s="33">
        <v>45741</v>
      </c>
      <c r="C9" s="34">
        <v>1096961</v>
      </c>
      <c r="D9" s="7" t="s">
        <v>79</v>
      </c>
      <c r="E9" s="36">
        <v>2118651.59</v>
      </c>
    </row>
    <row r="10" spans="2:5" ht="27" customHeight="1" x14ac:dyDescent="0.35">
      <c r="B10" s="33">
        <v>45767</v>
      </c>
      <c r="C10" s="34">
        <v>1096962</v>
      </c>
      <c r="D10" s="7" t="s">
        <v>79</v>
      </c>
      <c r="E10" s="36">
        <v>3714432.22</v>
      </c>
    </row>
    <row r="11" spans="2:5" ht="27" customHeight="1" x14ac:dyDescent="0.35">
      <c r="B11" s="33">
        <v>45772</v>
      </c>
      <c r="C11" s="34">
        <v>1096963</v>
      </c>
      <c r="D11" s="7" t="s">
        <v>79</v>
      </c>
      <c r="E11" s="36">
        <v>2118651.59</v>
      </c>
    </row>
    <row r="12" spans="2:5" ht="27" customHeight="1" x14ac:dyDescent="0.35">
      <c r="B12" s="33">
        <v>45741</v>
      </c>
      <c r="C12" s="34">
        <v>2949690</v>
      </c>
      <c r="D12" s="7" t="s">
        <v>78</v>
      </c>
      <c r="E12" s="36">
        <v>916</v>
      </c>
    </row>
    <row r="13" spans="2:5" ht="27" customHeight="1" x14ac:dyDescent="0.35">
      <c r="B13" s="33">
        <v>45741</v>
      </c>
      <c r="C13" s="34">
        <v>2949442</v>
      </c>
      <c r="D13" s="7" t="s">
        <v>78</v>
      </c>
      <c r="E13" s="36">
        <v>2030</v>
      </c>
    </row>
    <row r="14" spans="2:5" ht="27" customHeight="1" x14ac:dyDescent="0.35">
      <c r="B14" s="33">
        <v>45741</v>
      </c>
      <c r="C14" s="34">
        <v>3001509</v>
      </c>
      <c r="D14" s="7" t="s">
        <v>78</v>
      </c>
      <c r="E14" s="36">
        <v>6245</v>
      </c>
    </row>
    <row r="15" spans="2:5" ht="27" customHeight="1" x14ac:dyDescent="0.35">
      <c r="B15" s="33">
        <v>45741</v>
      </c>
      <c r="C15" s="34">
        <v>2948832</v>
      </c>
      <c r="D15" s="7" t="s">
        <v>78</v>
      </c>
      <c r="E15" s="36">
        <v>59502</v>
      </c>
    </row>
    <row r="16" spans="2:5" ht="27" customHeight="1" x14ac:dyDescent="0.35">
      <c r="B16" s="33">
        <v>45833</v>
      </c>
      <c r="C16" s="34">
        <v>2949691</v>
      </c>
      <c r="D16" s="7" t="s">
        <v>78</v>
      </c>
      <c r="E16" s="36">
        <v>916</v>
      </c>
    </row>
    <row r="17" spans="2:5" ht="27" customHeight="1" x14ac:dyDescent="0.35">
      <c r="B17" s="33">
        <v>45833</v>
      </c>
      <c r="C17" s="34">
        <v>2949443</v>
      </c>
      <c r="D17" s="7" t="s">
        <v>78</v>
      </c>
      <c r="E17" s="36">
        <v>2030</v>
      </c>
    </row>
    <row r="18" spans="2:5" ht="27" customHeight="1" x14ac:dyDescent="0.35">
      <c r="B18" s="33">
        <v>45833</v>
      </c>
      <c r="C18" s="34">
        <v>3001510</v>
      </c>
      <c r="D18" s="7" t="s">
        <v>78</v>
      </c>
      <c r="E18" s="36">
        <v>6245</v>
      </c>
    </row>
    <row r="19" spans="2:5" ht="27" customHeight="1" x14ac:dyDescent="0.35">
      <c r="B19" s="33">
        <v>45833</v>
      </c>
      <c r="C19" s="34">
        <v>2948831</v>
      </c>
      <c r="D19" s="7" t="s">
        <v>78</v>
      </c>
      <c r="E19" s="36">
        <v>59502</v>
      </c>
    </row>
    <row r="20" spans="2:5" ht="27" customHeight="1" x14ac:dyDescent="0.35">
      <c r="B20" s="33">
        <v>45925</v>
      </c>
      <c r="C20" s="34">
        <v>2948830</v>
      </c>
      <c r="D20" s="7" t="s">
        <v>78</v>
      </c>
      <c r="E20" s="36">
        <v>59502</v>
      </c>
    </row>
    <row r="21" spans="2:5" ht="27" customHeight="1" x14ac:dyDescent="0.35">
      <c r="B21" s="33">
        <v>45925</v>
      </c>
      <c r="C21" s="34">
        <v>2949444</v>
      </c>
      <c r="D21" s="7" t="s">
        <v>78</v>
      </c>
      <c r="E21" s="36">
        <v>2030</v>
      </c>
    </row>
    <row r="22" spans="2:5" ht="27" customHeight="1" x14ac:dyDescent="0.35">
      <c r="B22" s="33">
        <v>45925</v>
      </c>
      <c r="C22" s="34">
        <v>2949692</v>
      </c>
      <c r="D22" s="7" t="s">
        <v>78</v>
      </c>
      <c r="E22" s="36">
        <v>916</v>
      </c>
    </row>
    <row r="23" spans="2:5" ht="27" customHeight="1" x14ac:dyDescent="0.35">
      <c r="B23" s="33">
        <v>45925</v>
      </c>
      <c r="C23" s="34">
        <v>3001511</v>
      </c>
      <c r="D23" s="7" t="s">
        <v>78</v>
      </c>
      <c r="E23" s="36">
        <v>6245</v>
      </c>
    </row>
    <row r="24" spans="2:5" ht="27" customHeight="1" x14ac:dyDescent="0.35">
      <c r="B24" s="199" t="s">
        <v>69</v>
      </c>
      <c r="C24" s="200"/>
      <c r="D24" s="201"/>
      <c r="E24" s="6">
        <f>SUM(E4:E23)</f>
        <v>29122009.210000001</v>
      </c>
    </row>
    <row r="25" spans="2:5" ht="27" customHeight="1" x14ac:dyDescent="0.35">
      <c r="E25" s="10">
        <f>E24-UCTD!F38</f>
        <v>0</v>
      </c>
    </row>
  </sheetData>
  <autoFilter ref="B3:E24" xr:uid="{A0F992CB-C969-46EB-B3DF-B5FB597DEACE}"/>
  <mergeCells count="2">
    <mergeCell ref="B2:E2"/>
    <mergeCell ref="B24:D24"/>
  </mergeCells>
  <pageMargins left="0.7" right="0.7" top="0.75" bottom="0.75" header="0.3" footer="0.3"/>
  <pageSetup scale="30" orientation="portrait" r:id="rId1"/>
  <colBreaks count="1" manualBreakCount="1">
    <brk id="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A9D8-628D-4540-BB14-83057E0FF373}">
  <sheetPr>
    <pageSetUpPr fitToPage="1"/>
  </sheetPr>
  <dimension ref="B1:K30"/>
  <sheetViews>
    <sheetView rightToLeft="1" topLeftCell="A15" zoomScale="70" zoomScaleNormal="70" workbookViewId="0">
      <selection activeCell="C15" sqref="C15"/>
    </sheetView>
  </sheetViews>
  <sheetFormatPr defaultColWidth="9.1796875" defaultRowHeight="27" customHeight="1" x14ac:dyDescent="0.35"/>
  <cols>
    <col min="1" max="1" width="46.26953125" style="8" customWidth="1"/>
    <col min="2" max="2" width="62.453125" style="10" bestFit="1" customWidth="1"/>
    <col min="3" max="3" width="26" style="10" bestFit="1" customWidth="1"/>
    <col min="4" max="4" width="30.08984375" style="32" bestFit="1" customWidth="1"/>
    <col min="5" max="5" width="47.08984375" style="10" bestFit="1" customWidth="1"/>
    <col min="6" max="6" width="19.7265625" style="8" bestFit="1" customWidth="1"/>
    <col min="7" max="7" width="16" style="8" bestFit="1" customWidth="1"/>
    <col min="8" max="8" width="9.1796875" style="10"/>
    <col min="9" max="9" width="20.453125" style="10" bestFit="1" customWidth="1"/>
    <col min="10" max="10" width="9.1796875" style="10"/>
    <col min="11" max="11" width="12" style="10" bestFit="1" customWidth="1"/>
    <col min="12" max="16384" width="9.1796875" style="8"/>
  </cols>
  <sheetData>
    <row r="1" spans="2:5" ht="27" customHeight="1" x14ac:dyDescent="0.35">
      <c r="B1" s="37"/>
    </row>
    <row r="2" spans="2:5" ht="27" customHeight="1" x14ac:dyDescent="0.35">
      <c r="B2" s="199" t="s">
        <v>66</v>
      </c>
      <c r="C2" s="200"/>
      <c r="D2" s="200"/>
      <c r="E2" s="201"/>
    </row>
    <row r="3" spans="2:5" ht="27" customHeight="1" x14ac:dyDescent="0.35">
      <c r="B3" s="6" t="s">
        <v>74</v>
      </c>
      <c r="C3" s="6" t="s">
        <v>75</v>
      </c>
      <c r="D3" s="7" t="s">
        <v>76</v>
      </c>
      <c r="E3" s="6" t="s">
        <v>77</v>
      </c>
    </row>
    <row r="4" spans="2:5" ht="27" customHeight="1" x14ac:dyDescent="0.35">
      <c r="B4" s="33">
        <v>45531</v>
      </c>
      <c r="C4" s="34">
        <v>2847848</v>
      </c>
      <c r="D4" s="7" t="s">
        <v>78</v>
      </c>
      <c r="E4" s="6">
        <v>2392612</v>
      </c>
    </row>
    <row r="5" spans="2:5" ht="27" customHeight="1" x14ac:dyDescent="0.35">
      <c r="B5" s="33">
        <v>45623</v>
      </c>
      <c r="C5" s="34">
        <v>2847849</v>
      </c>
      <c r="D5" s="7" t="s">
        <v>78</v>
      </c>
      <c r="E5" s="6">
        <v>2392612</v>
      </c>
    </row>
    <row r="6" spans="2:5" ht="27" customHeight="1" x14ac:dyDescent="0.35">
      <c r="B6" s="33">
        <v>45623</v>
      </c>
      <c r="C6" s="34">
        <v>2847877</v>
      </c>
      <c r="D6" s="7" t="s">
        <v>78</v>
      </c>
      <c r="E6" s="6">
        <v>217592</v>
      </c>
    </row>
    <row r="7" spans="2:5" ht="27" customHeight="1" x14ac:dyDescent="0.35">
      <c r="B7" s="33">
        <v>45623</v>
      </c>
      <c r="C7" s="34">
        <v>2925371</v>
      </c>
      <c r="D7" s="7" t="s">
        <v>78</v>
      </c>
      <c r="E7" s="6">
        <v>61622</v>
      </c>
    </row>
    <row r="8" spans="2:5" ht="27" customHeight="1" x14ac:dyDescent="0.35">
      <c r="B8" s="33">
        <v>45623</v>
      </c>
      <c r="C8" s="34">
        <v>2925397</v>
      </c>
      <c r="D8" s="7" t="s">
        <v>78</v>
      </c>
      <c r="E8" s="6">
        <v>6146</v>
      </c>
    </row>
    <row r="9" spans="2:5" ht="27" customHeight="1" x14ac:dyDescent="0.35">
      <c r="B9" s="33">
        <v>45623</v>
      </c>
      <c r="C9" s="34">
        <v>2925505</v>
      </c>
      <c r="D9" s="7" t="s">
        <v>78</v>
      </c>
      <c r="E9" s="6">
        <v>12561</v>
      </c>
    </row>
    <row r="10" spans="2:5" ht="27" customHeight="1" x14ac:dyDescent="0.35">
      <c r="B10" s="33">
        <v>45623</v>
      </c>
      <c r="C10" s="34">
        <v>2925707</v>
      </c>
      <c r="D10" s="7" t="s">
        <v>78</v>
      </c>
      <c r="E10" s="6">
        <v>125285</v>
      </c>
    </row>
    <row r="11" spans="2:5" ht="27" customHeight="1" x14ac:dyDescent="0.35">
      <c r="B11" s="33">
        <v>45715</v>
      </c>
      <c r="C11" s="34">
        <v>2847850</v>
      </c>
      <c r="D11" s="7" t="s">
        <v>78</v>
      </c>
      <c r="E11" s="6">
        <v>2392612</v>
      </c>
    </row>
    <row r="12" spans="2:5" ht="27" customHeight="1" x14ac:dyDescent="0.35">
      <c r="B12" s="33">
        <v>45715</v>
      </c>
      <c r="C12" s="34">
        <v>2847878</v>
      </c>
      <c r="D12" s="7" t="s">
        <v>78</v>
      </c>
      <c r="E12" s="6">
        <v>217592</v>
      </c>
    </row>
    <row r="13" spans="2:5" ht="27" customHeight="1" x14ac:dyDescent="0.35">
      <c r="B13" s="33">
        <v>45715</v>
      </c>
      <c r="C13" s="34">
        <v>2925372</v>
      </c>
      <c r="D13" s="7" t="s">
        <v>78</v>
      </c>
      <c r="E13" s="6">
        <v>61622</v>
      </c>
    </row>
    <row r="14" spans="2:5" ht="27" customHeight="1" x14ac:dyDescent="0.35">
      <c r="B14" s="33">
        <v>45715</v>
      </c>
      <c r="C14" s="34">
        <v>2925398</v>
      </c>
      <c r="D14" s="7" t="s">
        <v>78</v>
      </c>
      <c r="E14" s="6">
        <v>6146</v>
      </c>
    </row>
    <row r="15" spans="2:5" ht="27" customHeight="1" x14ac:dyDescent="0.35">
      <c r="B15" s="33">
        <v>45715</v>
      </c>
      <c r="C15" s="34">
        <v>2925506</v>
      </c>
      <c r="D15" s="7" t="s">
        <v>78</v>
      </c>
      <c r="E15" s="6">
        <v>12561</v>
      </c>
    </row>
    <row r="16" spans="2:5" ht="27" customHeight="1" x14ac:dyDescent="0.35">
      <c r="B16" s="33">
        <v>45715</v>
      </c>
      <c r="C16" s="34">
        <v>2925708</v>
      </c>
      <c r="D16" s="7" t="s">
        <v>78</v>
      </c>
      <c r="E16" s="6">
        <v>125285</v>
      </c>
    </row>
    <row r="17" spans="2:5" ht="27" customHeight="1" x14ac:dyDescent="0.35">
      <c r="B17" s="33">
        <v>45804</v>
      </c>
      <c r="C17" s="34">
        <v>2847851</v>
      </c>
      <c r="D17" s="7" t="s">
        <v>78</v>
      </c>
      <c r="E17" s="6">
        <v>2392612</v>
      </c>
    </row>
    <row r="18" spans="2:5" ht="27" customHeight="1" x14ac:dyDescent="0.35">
      <c r="B18" s="33">
        <v>45804</v>
      </c>
      <c r="C18" s="34">
        <v>2847879</v>
      </c>
      <c r="D18" s="7" t="s">
        <v>78</v>
      </c>
      <c r="E18" s="6">
        <v>217592</v>
      </c>
    </row>
    <row r="19" spans="2:5" ht="27" customHeight="1" x14ac:dyDescent="0.35">
      <c r="B19" s="33">
        <v>45804</v>
      </c>
      <c r="C19" s="34">
        <v>2925373</v>
      </c>
      <c r="D19" s="7" t="s">
        <v>78</v>
      </c>
      <c r="E19" s="6">
        <v>61622</v>
      </c>
    </row>
    <row r="20" spans="2:5" ht="27" customHeight="1" x14ac:dyDescent="0.35">
      <c r="B20" s="33">
        <v>45804</v>
      </c>
      <c r="C20" s="34">
        <v>2925399</v>
      </c>
      <c r="D20" s="7" t="s">
        <v>78</v>
      </c>
      <c r="E20" s="6">
        <v>6146</v>
      </c>
    </row>
    <row r="21" spans="2:5" ht="27" customHeight="1" x14ac:dyDescent="0.35">
      <c r="B21" s="33">
        <v>45804</v>
      </c>
      <c r="C21" s="34">
        <v>2925507</v>
      </c>
      <c r="D21" s="7" t="s">
        <v>78</v>
      </c>
      <c r="E21" s="6">
        <v>12561</v>
      </c>
    </row>
    <row r="22" spans="2:5" ht="27" customHeight="1" x14ac:dyDescent="0.35">
      <c r="B22" s="33">
        <v>45804</v>
      </c>
      <c r="C22" s="34">
        <v>2925709</v>
      </c>
      <c r="D22" s="7" t="s">
        <v>78</v>
      </c>
      <c r="E22" s="6">
        <v>125285</v>
      </c>
    </row>
    <row r="23" spans="2:5" ht="27" customHeight="1" x14ac:dyDescent="0.35">
      <c r="B23" s="33">
        <v>45896</v>
      </c>
      <c r="C23" s="34">
        <v>2847852</v>
      </c>
      <c r="D23" s="7" t="s">
        <v>78</v>
      </c>
      <c r="E23" s="6">
        <v>2392612</v>
      </c>
    </row>
    <row r="24" spans="2:5" ht="27" customHeight="1" x14ac:dyDescent="0.35">
      <c r="B24" s="33">
        <v>45896</v>
      </c>
      <c r="C24" s="34">
        <v>2847880</v>
      </c>
      <c r="D24" s="7" t="s">
        <v>78</v>
      </c>
      <c r="E24" s="6">
        <v>217592</v>
      </c>
    </row>
    <row r="25" spans="2:5" ht="27" customHeight="1" x14ac:dyDescent="0.35">
      <c r="B25" s="33">
        <v>45896</v>
      </c>
      <c r="C25" s="34">
        <v>2925374</v>
      </c>
      <c r="D25" s="7" t="s">
        <v>78</v>
      </c>
      <c r="E25" s="6">
        <v>61622</v>
      </c>
    </row>
    <row r="26" spans="2:5" ht="27" customHeight="1" x14ac:dyDescent="0.35">
      <c r="B26" s="33">
        <v>45896</v>
      </c>
      <c r="C26" s="34">
        <v>2925400</v>
      </c>
      <c r="D26" s="7" t="s">
        <v>78</v>
      </c>
      <c r="E26" s="6">
        <v>6146</v>
      </c>
    </row>
    <row r="27" spans="2:5" ht="27" customHeight="1" x14ac:dyDescent="0.35">
      <c r="B27" s="33">
        <v>45896</v>
      </c>
      <c r="C27" s="34">
        <v>2925508</v>
      </c>
      <c r="D27" s="7" t="s">
        <v>78</v>
      </c>
      <c r="E27" s="6">
        <v>12561</v>
      </c>
    </row>
    <row r="28" spans="2:5" ht="27" customHeight="1" x14ac:dyDescent="0.35">
      <c r="B28" s="33">
        <v>45896</v>
      </c>
      <c r="C28" s="34">
        <v>2925710</v>
      </c>
      <c r="D28" s="7" t="s">
        <v>78</v>
      </c>
      <c r="E28" s="6">
        <v>125285</v>
      </c>
    </row>
    <row r="29" spans="2:5" ht="27" customHeight="1" x14ac:dyDescent="0.35">
      <c r="B29" s="199" t="s">
        <v>69</v>
      </c>
      <c r="C29" s="200"/>
      <c r="D29" s="201"/>
      <c r="E29" s="6">
        <f>SUM(E4:E28)</f>
        <v>13655884</v>
      </c>
    </row>
    <row r="30" spans="2:5" ht="27" customHeight="1" x14ac:dyDescent="0.35">
      <c r="B30" s="37"/>
      <c r="E30" s="10">
        <f>E29-UCTD!F39</f>
        <v>0</v>
      </c>
    </row>
  </sheetData>
  <mergeCells count="2">
    <mergeCell ref="B2:E2"/>
    <mergeCell ref="B29:D29"/>
  </mergeCells>
  <pageMargins left="0.7" right="0.7" top="0.75" bottom="0.75" header="0.3" footer="0.3"/>
  <pageSetup scale="30" orientation="portrait" r:id="rId1"/>
  <colBreaks count="1" manualBreakCount="1">
    <brk id="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ECEC-B7C6-497F-88FD-E62FF08F4AEA}">
  <sheetPr>
    <pageSetUpPr fitToPage="1"/>
  </sheetPr>
  <dimension ref="A1:K46"/>
  <sheetViews>
    <sheetView rightToLeft="1" topLeftCell="A8" zoomScale="70" zoomScaleNormal="70" workbookViewId="0">
      <selection activeCell="B16" sqref="B16:D16"/>
    </sheetView>
  </sheetViews>
  <sheetFormatPr defaultColWidth="9.1796875" defaultRowHeight="27" customHeight="1" x14ac:dyDescent="0.35"/>
  <cols>
    <col min="1" max="1" width="46.26953125" style="8" customWidth="1"/>
    <col min="2" max="2" width="62.453125" style="10" customWidth="1"/>
    <col min="3" max="3" width="26" style="10" bestFit="1" customWidth="1"/>
    <col min="4" max="4" width="30.08984375" style="32" bestFit="1" customWidth="1"/>
    <col min="5" max="5" width="47.08984375" style="10" bestFit="1" customWidth="1"/>
    <col min="6" max="6" width="19.7265625" style="8" bestFit="1" customWidth="1"/>
    <col min="7" max="7" width="16" style="8" bestFit="1" customWidth="1"/>
    <col min="8" max="8" width="9.1796875" style="10"/>
    <col min="9" max="9" width="20.453125" style="10" bestFit="1" customWidth="1"/>
    <col min="10" max="10" width="9.1796875" style="10"/>
    <col min="11" max="11" width="12" style="10" bestFit="1" customWidth="1"/>
    <col min="12" max="16384" width="9.1796875" style="8"/>
  </cols>
  <sheetData>
    <row r="1" spans="2:5" ht="27" customHeight="1" x14ac:dyDescent="0.35">
      <c r="B1" s="37"/>
    </row>
    <row r="2" spans="2:5" ht="27" customHeight="1" x14ac:dyDescent="0.35">
      <c r="B2" s="199" t="s">
        <v>68</v>
      </c>
      <c r="C2" s="200"/>
      <c r="D2" s="200"/>
      <c r="E2" s="201"/>
    </row>
    <row r="3" spans="2:5" ht="27" customHeight="1" x14ac:dyDescent="0.35">
      <c r="B3" s="6" t="s">
        <v>74</v>
      </c>
      <c r="C3" s="6" t="s">
        <v>75</v>
      </c>
      <c r="D3" s="7" t="s">
        <v>76</v>
      </c>
      <c r="E3" s="6" t="s">
        <v>77</v>
      </c>
    </row>
    <row r="4" spans="2:5" ht="27" customHeight="1" x14ac:dyDescent="0.35">
      <c r="B4" s="33">
        <v>45736</v>
      </c>
      <c r="C4" s="34">
        <v>2848304</v>
      </c>
      <c r="D4" s="7" t="s">
        <v>78</v>
      </c>
      <c r="E4" s="6">
        <v>1942686</v>
      </c>
    </row>
    <row r="5" spans="2:5" ht="27" customHeight="1" x14ac:dyDescent="0.35">
      <c r="B5" s="33">
        <v>45736</v>
      </c>
      <c r="C5" s="34">
        <v>2948461</v>
      </c>
      <c r="D5" s="7" t="s">
        <v>78</v>
      </c>
      <c r="E5" s="6">
        <v>288631</v>
      </c>
    </row>
    <row r="6" spans="2:5" ht="27" customHeight="1" x14ac:dyDescent="0.35">
      <c r="B6" s="33">
        <v>45736</v>
      </c>
      <c r="C6" s="34">
        <v>2948859</v>
      </c>
      <c r="D6" s="7" t="s">
        <v>78</v>
      </c>
      <c r="E6" s="6">
        <v>169845</v>
      </c>
    </row>
    <row r="7" spans="2:5" ht="27" customHeight="1" x14ac:dyDescent="0.35">
      <c r="B7" s="33">
        <v>45736</v>
      </c>
      <c r="C7" s="34">
        <v>2949128</v>
      </c>
      <c r="D7" s="7" t="s">
        <v>78</v>
      </c>
      <c r="E7" s="6">
        <v>106377</v>
      </c>
    </row>
    <row r="8" spans="2:5" ht="27" customHeight="1" x14ac:dyDescent="0.35">
      <c r="B8" s="33">
        <v>45736</v>
      </c>
      <c r="C8" s="34">
        <v>3000625</v>
      </c>
      <c r="D8" s="7" t="s">
        <v>78</v>
      </c>
      <c r="E8" s="6">
        <v>48423</v>
      </c>
    </row>
    <row r="9" spans="2:5" ht="27" customHeight="1" x14ac:dyDescent="0.35">
      <c r="B9" s="33">
        <v>45736</v>
      </c>
      <c r="C9" s="34">
        <v>3001173</v>
      </c>
      <c r="D9" s="7" t="s">
        <v>78</v>
      </c>
      <c r="E9" s="6">
        <v>89701</v>
      </c>
    </row>
    <row r="10" spans="2:5" ht="27" customHeight="1" x14ac:dyDescent="0.35">
      <c r="B10" s="33">
        <v>45736</v>
      </c>
      <c r="C10" s="34">
        <v>3001308</v>
      </c>
      <c r="D10" s="7" t="s">
        <v>78</v>
      </c>
      <c r="E10" s="6">
        <v>291367</v>
      </c>
    </row>
    <row r="11" spans="2:5" ht="27" customHeight="1" x14ac:dyDescent="0.35">
      <c r="B11" s="33">
        <v>45828</v>
      </c>
      <c r="C11" s="34">
        <v>2848305</v>
      </c>
      <c r="D11" s="7" t="s">
        <v>78</v>
      </c>
      <c r="E11" s="6">
        <v>1942686</v>
      </c>
    </row>
    <row r="12" spans="2:5" ht="27" customHeight="1" x14ac:dyDescent="0.35">
      <c r="B12" s="33">
        <v>45828</v>
      </c>
      <c r="C12" s="34">
        <v>2948462</v>
      </c>
      <c r="D12" s="7" t="s">
        <v>78</v>
      </c>
      <c r="E12" s="6">
        <v>288631</v>
      </c>
    </row>
    <row r="13" spans="2:5" ht="27" customHeight="1" x14ac:dyDescent="0.35">
      <c r="B13" s="33">
        <v>45828</v>
      </c>
      <c r="C13" s="34">
        <v>2948860</v>
      </c>
      <c r="D13" s="7" t="s">
        <v>78</v>
      </c>
      <c r="E13" s="6">
        <v>169845</v>
      </c>
    </row>
    <row r="14" spans="2:5" ht="27" customHeight="1" x14ac:dyDescent="0.35">
      <c r="B14" s="33">
        <v>45828</v>
      </c>
      <c r="C14" s="34">
        <v>2949129</v>
      </c>
      <c r="D14" s="7" t="s">
        <v>78</v>
      </c>
      <c r="E14" s="6">
        <v>106377</v>
      </c>
    </row>
    <row r="15" spans="2:5" ht="27" customHeight="1" x14ac:dyDescent="0.35">
      <c r="B15" s="33">
        <v>45828</v>
      </c>
      <c r="C15" s="34">
        <v>3000626</v>
      </c>
      <c r="D15" s="7" t="s">
        <v>78</v>
      </c>
      <c r="E15" s="6">
        <v>48423</v>
      </c>
    </row>
    <row r="16" spans="2:5" ht="27" customHeight="1" x14ac:dyDescent="0.35">
      <c r="B16" s="33">
        <v>45828</v>
      </c>
      <c r="C16" s="34">
        <v>3001174</v>
      </c>
      <c r="D16" s="7" t="s">
        <v>78</v>
      </c>
      <c r="E16" s="6">
        <v>89701</v>
      </c>
    </row>
    <row r="17" spans="2:5" ht="27" customHeight="1" x14ac:dyDescent="0.35">
      <c r="B17" s="33">
        <v>45828</v>
      </c>
      <c r="C17" s="34">
        <v>3001309</v>
      </c>
      <c r="D17" s="7" t="s">
        <v>78</v>
      </c>
      <c r="E17" s="6">
        <v>291367</v>
      </c>
    </row>
    <row r="18" spans="2:5" ht="27" customHeight="1" x14ac:dyDescent="0.35">
      <c r="B18" s="33">
        <v>45920</v>
      </c>
      <c r="C18" s="34">
        <v>2848306</v>
      </c>
      <c r="D18" s="7" t="s">
        <v>78</v>
      </c>
      <c r="E18" s="6">
        <v>1942686</v>
      </c>
    </row>
    <row r="19" spans="2:5" ht="27" customHeight="1" x14ac:dyDescent="0.35">
      <c r="B19" s="33">
        <v>45920</v>
      </c>
      <c r="C19" s="34">
        <v>2948463</v>
      </c>
      <c r="D19" s="7" t="s">
        <v>78</v>
      </c>
      <c r="E19" s="6">
        <v>288631</v>
      </c>
    </row>
    <row r="20" spans="2:5" ht="27" customHeight="1" x14ac:dyDescent="0.35">
      <c r="B20" s="33">
        <v>45920</v>
      </c>
      <c r="C20" s="34">
        <v>2948861</v>
      </c>
      <c r="D20" s="7" t="s">
        <v>78</v>
      </c>
      <c r="E20" s="6">
        <v>169845</v>
      </c>
    </row>
    <row r="21" spans="2:5" ht="27" customHeight="1" x14ac:dyDescent="0.35">
      <c r="B21" s="33">
        <v>45920</v>
      </c>
      <c r="C21" s="34">
        <v>2949130</v>
      </c>
      <c r="D21" s="7" t="s">
        <v>78</v>
      </c>
      <c r="E21" s="6">
        <v>106377</v>
      </c>
    </row>
    <row r="22" spans="2:5" ht="27" customHeight="1" x14ac:dyDescent="0.35">
      <c r="B22" s="33">
        <v>45920</v>
      </c>
      <c r="C22" s="34">
        <v>3000627</v>
      </c>
      <c r="D22" s="7" t="s">
        <v>78</v>
      </c>
      <c r="E22" s="6">
        <v>48423</v>
      </c>
    </row>
    <row r="23" spans="2:5" ht="27" customHeight="1" x14ac:dyDescent="0.35">
      <c r="B23" s="33">
        <v>45920</v>
      </c>
      <c r="C23" s="34">
        <v>3001175</v>
      </c>
      <c r="D23" s="7" t="s">
        <v>78</v>
      </c>
      <c r="E23" s="6">
        <v>89701</v>
      </c>
    </row>
    <row r="24" spans="2:5" ht="27" customHeight="1" x14ac:dyDescent="0.35">
      <c r="B24" s="33">
        <v>45920</v>
      </c>
      <c r="C24" s="34">
        <v>3001310</v>
      </c>
      <c r="D24" s="7" t="s">
        <v>78</v>
      </c>
      <c r="E24" s="6">
        <v>291367</v>
      </c>
    </row>
    <row r="25" spans="2:5" ht="27" customHeight="1" x14ac:dyDescent="0.35">
      <c r="B25" s="199" t="s">
        <v>69</v>
      </c>
      <c r="C25" s="200"/>
      <c r="D25" s="201"/>
      <c r="E25" s="6">
        <f>SUM(E4:E24)</f>
        <v>8811090</v>
      </c>
    </row>
    <row r="26" spans="2:5" ht="27" customHeight="1" x14ac:dyDescent="0.35">
      <c r="B26" s="37"/>
      <c r="E26" s="10">
        <f>E25-UCTD!F41</f>
        <v>0</v>
      </c>
    </row>
    <row r="27" spans="2:5" ht="27" customHeight="1" x14ac:dyDescent="0.35">
      <c r="B27" s="37"/>
    </row>
    <row r="28" spans="2:5" ht="27" customHeight="1" x14ac:dyDescent="0.35">
      <c r="B28" s="37"/>
    </row>
    <row r="29" spans="2:5" ht="27" customHeight="1" x14ac:dyDescent="0.35">
      <c r="B29" s="37"/>
    </row>
    <row r="30" spans="2:5" ht="27" customHeight="1" x14ac:dyDescent="0.35">
      <c r="B30" s="37"/>
    </row>
    <row r="31" spans="2:5" ht="27" customHeight="1" x14ac:dyDescent="0.35">
      <c r="B31" s="37"/>
    </row>
    <row r="32" spans="2:5" ht="27" customHeight="1" x14ac:dyDescent="0.35">
      <c r="B32" s="37"/>
    </row>
    <row r="33" spans="1:7" ht="27" customHeight="1" x14ac:dyDescent="0.35">
      <c r="B33" s="37"/>
    </row>
    <row r="34" spans="1:7" ht="27" customHeight="1" x14ac:dyDescent="0.35">
      <c r="B34" s="37"/>
    </row>
    <row r="35" spans="1:7" s="10" customFormat="1" ht="27" customHeight="1" x14ac:dyDescent="0.35">
      <c r="A35" s="8"/>
      <c r="B35" s="37"/>
      <c r="D35" s="32"/>
      <c r="F35" s="8"/>
      <c r="G35" s="8"/>
    </row>
    <row r="36" spans="1:7" s="10" customFormat="1" ht="27" customHeight="1" x14ac:dyDescent="0.35">
      <c r="A36" s="8"/>
      <c r="B36" s="37"/>
      <c r="D36" s="32"/>
      <c r="F36" s="8"/>
      <c r="G36" s="8"/>
    </row>
    <row r="37" spans="1:7" s="10" customFormat="1" ht="27" customHeight="1" x14ac:dyDescent="0.35">
      <c r="A37" s="8"/>
      <c r="B37" s="37"/>
      <c r="D37" s="32"/>
      <c r="F37" s="8"/>
      <c r="G37" s="8"/>
    </row>
    <row r="38" spans="1:7" s="10" customFormat="1" ht="27" customHeight="1" x14ac:dyDescent="0.35">
      <c r="A38" s="8"/>
      <c r="B38" s="37"/>
      <c r="D38" s="32"/>
      <c r="F38" s="8"/>
      <c r="G38" s="8"/>
    </row>
    <row r="39" spans="1:7" s="10" customFormat="1" ht="27" customHeight="1" x14ac:dyDescent="0.35">
      <c r="A39" s="8"/>
      <c r="B39" s="37"/>
      <c r="D39" s="32"/>
      <c r="F39" s="8"/>
      <c r="G39" s="8"/>
    </row>
    <row r="40" spans="1:7" s="10" customFormat="1" ht="27" customHeight="1" x14ac:dyDescent="0.35">
      <c r="A40" s="8"/>
      <c r="B40" s="37"/>
      <c r="D40" s="32"/>
      <c r="F40" s="8"/>
      <c r="G40" s="8"/>
    </row>
    <row r="41" spans="1:7" s="10" customFormat="1" ht="27" customHeight="1" x14ac:dyDescent="0.35">
      <c r="A41" s="8"/>
      <c r="B41" s="37"/>
      <c r="D41" s="32"/>
      <c r="F41" s="8"/>
      <c r="G41" s="8"/>
    </row>
    <row r="42" spans="1:7" s="10" customFormat="1" ht="27" customHeight="1" x14ac:dyDescent="0.35">
      <c r="A42" s="8"/>
      <c r="B42" s="37"/>
      <c r="D42" s="32"/>
      <c r="F42" s="8"/>
      <c r="G42" s="8"/>
    </row>
    <row r="43" spans="1:7" s="10" customFormat="1" ht="27" customHeight="1" x14ac:dyDescent="0.35">
      <c r="A43" s="8"/>
      <c r="B43" s="37"/>
      <c r="D43" s="32"/>
      <c r="F43" s="8"/>
      <c r="G43" s="8"/>
    </row>
    <row r="44" spans="1:7" s="10" customFormat="1" ht="27" customHeight="1" x14ac:dyDescent="0.35">
      <c r="A44" s="8"/>
      <c r="B44" s="37"/>
      <c r="D44" s="32"/>
      <c r="F44" s="8"/>
      <c r="G44" s="8"/>
    </row>
    <row r="45" spans="1:7" s="10" customFormat="1" ht="27" customHeight="1" x14ac:dyDescent="0.35">
      <c r="A45" s="8"/>
      <c r="B45" s="37"/>
      <c r="D45" s="32"/>
      <c r="F45" s="8"/>
      <c r="G45" s="8"/>
    </row>
    <row r="46" spans="1:7" s="10" customFormat="1" ht="27" customHeight="1" x14ac:dyDescent="0.35">
      <c r="A46" s="8"/>
      <c r="B46" s="37"/>
      <c r="D46" s="32"/>
      <c r="F46" s="8"/>
      <c r="G46" s="8"/>
    </row>
  </sheetData>
  <mergeCells count="2">
    <mergeCell ref="B2:E2"/>
    <mergeCell ref="B25:D25"/>
  </mergeCells>
  <pageMargins left="0.7" right="0.7" top="0.75" bottom="0.75" header="0.3" footer="0.3"/>
  <pageSetup scale="30" orientation="portrait" r:id="rId1"/>
  <colBreaks count="1" manualBreakCount="1">
    <brk id="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C6F3-6343-4541-A45E-93545A6CC532}">
  <sheetPr>
    <pageSetUpPr fitToPage="1"/>
  </sheetPr>
  <dimension ref="B1:K128"/>
  <sheetViews>
    <sheetView rightToLeft="1" topLeftCell="A103" zoomScale="70" zoomScaleNormal="70" workbookViewId="0">
      <selection activeCell="B16" sqref="B16:D16"/>
    </sheetView>
  </sheetViews>
  <sheetFormatPr defaultColWidth="9.1796875" defaultRowHeight="27" customHeight="1" x14ac:dyDescent="0.35"/>
  <cols>
    <col min="1" max="1" width="46.26953125" style="8" customWidth="1"/>
    <col min="2" max="2" width="62.453125" style="10" bestFit="1" customWidth="1"/>
    <col min="3" max="3" width="26" style="10" bestFit="1" customWidth="1"/>
    <col min="4" max="4" width="30.08984375" style="32" bestFit="1" customWidth="1"/>
    <col min="5" max="5" width="47.08984375" style="10" bestFit="1" customWidth="1"/>
    <col min="6" max="6" width="19.7265625" style="8" bestFit="1" customWidth="1"/>
    <col min="7" max="7" width="16" style="8" bestFit="1" customWidth="1"/>
    <col min="8" max="8" width="9.1796875" style="10"/>
    <col min="9" max="9" width="20.453125" style="10" bestFit="1" customWidth="1"/>
    <col min="10" max="10" width="9.1796875" style="10"/>
    <col min="11" max="11" width="12" style="10" bestFit="1" customWidth="1"/>
    <col min="12" max="16384" width="9.1796875" style="8"/>
  </cols>
  <sheetData>
    <row r="1" spans="2:5" ht="27" customHeight="1" x14ac:dyDescent="0.35">
      <c r="B1" s="37"/>
    </row>
    <row r="2" spans="2:5" ht="27" customHeight="1" x14ac:dyDescent="0.35">
      <c r="B2" s="199" t="s">
        <v>67</v>
      </c>
      <c r="C2" s="200"/>
      <c r="D2" s="200"/>
      <c r="E2" s="201"/>
    </row>
    <row r="3" spans="2:5" ht="27" customHeight="1" x14ac:dyDescent="0.35">
      <c r="B3" s="6" t="s">
        <v>74</v>
      </c>
      <c r="C3" s="6" t="s">
        <v>75</v>
      </c>
      <c r="D3" s="7" t="s">
        <v>76</v>
      </c>
      <c r="E3" s="6" t="s">
        <v>77</v>
      </c>
    </row>
    <row r="4" spans="2:5" ht="27" customHeight="1" x14ac:dyDescent="0.35">
      <c r="B4" s="33">
        <v>45646</v>
      </c>
      <c r="C4" s="34">
        <v>2848346</v>
      </c>
      <c r="D4" s="7" t="s">
        <v>78</v>
      </c>
      <c r="E4" s="6">
        <v>2720651</v>
      </c>
    </row>
    <row r="5" spans="2:5" ht="27" customHeight="1" x14ac:dyDescent="0.35">
      <c r="B5" s="33">
        <v>45646</v>
      </c>
      <c r="C5" s="34">
        <v>2848346</v>
      </c>
      <c r="D5" s="7" t="s">
        <v>78</v>
      </c>
      <c r="E5" s="6">
        <v>-700000</v>
      </c>
    </row>
    <row r="6" spans="2:5" ht="27" customHeight="1" x14ac:dyDescent="0.35">
      <c r="B6" s="33">
        <v>45646</v>
      </c>
      <c r="C6" s="34">
        <v>2848346</v>
      </c>
      <c r="D6" s="7" t="s">
        <v>78</v>
      </c>
      <c r="E6" s="6">
        <v>-500000</v>
      </c>
    </row>
    <row r="7" spans="2:5" ht="27" customHeight="1" x14ac:dyDescent="0.35">
      <c r="B7" s="33">
        <v>45641</v>
      </c>
      <c r="C7" s="34">
        <v>2847484</v>
      </c>
      <c r="D7" s="7" t="s">
        <v>78</v>
      </c>
      <c r="E7" s="6">
        <v>72126</v>
      </c>
    </row>
    <row r="8" spans="2:5" ht="27" customHeight="1" x14ac:dyDescent="0.35">
      <c r="B8" s="33">
        <v>45641</v>
      </c>
      <c r="C8" s="34">
        <v>3001127</v>
      </c>
      <c r="D8" s="7" t="s">
        <v>78</v>
      </c>
      <c r="E8" s="6">
        <v>6076</v>
      </c>
    </row>
    <row r="9" spans="2:5" ht="27" customHeight="1" x14ac:dyDescent="0.35">
      <c r="B9" s="33">
        <v>45641</v>
      </c>
      <c r="C9" s="34">
        <v>3001246</v>
      </c>
      <c r="D9" s="7" t="s">
        <v>78</v>
      </c>
      <c r="E9" s="6">
        <v>16503</v>
      </c>
    </row>
    <row r="10" spans="2:5" ht="27" customHeight="1" x14ac:dyDescent="0.35">
      <c r="B10" s="33">
        <v>45641</v>
      </c>
      <c r="C10" s="34">
        <v>3001254</v>
      </c>
      <c r="D10" s="7" t="s">
        <v>78</v>
      </c>
      <c r="E10" s="6">
        <v>4057</v>
      </c>
    </row>
    <row r="11" spans="2:5" ht="27" customHeight="1" x14ac:dyDescent="0.35">
      <c r="B11" s="33">
        <v>45646</v>
      </c>
      <c r="C11" s="34">
        <v>2925957</v>
      </c>
      <c r="D11" s="7" t="s">
        <v>78</v>
      </c>
      <c r="E11" s="6">
        <v>142686</v>
      </c>
    </row>
    <row r="12" spans="2:5" ht="27" customHeight="1" x14ac:dyDescent="0.35">
      <c r="B12" s="33">
        <v>45646</v>
      </c>
      <c r="C12" s="34">
        <v>2948669</v>
      </c>
      <c r="D12" s="7" t="s">
        <v>78</v>
      </c>
      <c r="E12" s="6">
        <v>400274</v>
      </c>
    </row>
    <row r="13" spans="2:5" ht="27" customHeight="1" x14ac:dyDescent="0.35">
      <c r="B13" s="33">
        <v>45646</v>
      </c>
      <c r="C13" s="34">
        <v>2949192</v>
      </c>
      <c r="D13" s="7" t="s">
        <v>78</v>
      </c>
      <c r="E13" s="6">
        <v>158581</v>
      </c>
    </row>
    <row r="14" spans="2:5" ht="27" customHeight="1" x14ac:dyDescent="0.35">
      <c r="B14" s="33">
        <v>45646</v>
      </c>
      <c r="C14" s="34">
        <v>3000715</v>
      </c>
      <c r="D14" s="7" t="s">
        <v>78</v>
      </c>
      <c r="E14" s="6">
        <v>67813</v>
      </c>
    </row>
    <row r="15" spans="2:5" ht="27" customHeight="1" x14ac:dyDescent="0.35">
      <c r="B15" s="33">
        <v>45646</v>
      </c>
      <c r="C15" s="34">
        <v>3001149</v>
      </c>
      <c r="D15" s="7" t="s">
        <v>78</v>
      </c>
      <c r="E15" s="6">
        <v>123830</v>
      </c>
    </row>
    <row r="16" spans="2:5" ht="27" customHeight="1" x14ac:dyDescent="0.35">
      <c r="B16" s="33">
        <v>45646</v>
      </c>
      <c r="C16" s="34">
        <v>3001290</v>
      </c>
      <c r="D16" s="7" t="s">
        <v>78</v>
      </c>
      <c r="E16" s="6">
        <v>367259</v>
      </c>
    </row>
    <row r="17" spans="2:5" ht="27" customHeight="1" x14ac:dyDescent="0.35">
      <c r="B17" s="33">
        <v>45651</v>
      </c>
      <c r="C17" s="34">
        <v>2847944</v>
      </c>
      <c r="D17" s="7" t="s">
        <v>78</v>
      </c>
      <c r="E17" s="6">
        <v>24043</v>
      </c>
    </row>
    <row r="18" spans="2:5" ht="27" customHeight="1" x14ac:dyDescent="0.35">
      <c r="B18" s="33">
        <v>45651</v>
      </c>
      <c r="C18" s="34">
        <v>2948727</v>
      </c>
      <c r="D18" s="7" t="s">
        <v>78</v>
      </c>
      <c r="E18" s="6">
        <v>1942</v>
      </c>
    </row>
    <row r="19" spans="2:5" ht="27" customHeight="1" x14ac:dyDescent="0.35">
      <c r="B19" s="33">
        <v>45651</v>
      </c>
      <c r="C19" s="34">
        <v>3000690</v>
      </c>
      <c r="D19" s="7" t="s">
        <v>78</v>
      </c>
      <c r="E19" s="6">
        <v>341</v>
      </c>
    </row>
    <row r="20" spans="2:5" ht="27" customHeight="1" x14ac:dyDescent="0.35">
      <c r="B20" s="33">
        <v>45651</v>
      </c>
      <c r="C20" s="34">
        <v>3001102</v>
      </c>
      <c r="D20" s="7" t="s">
        <v>78</v>
      </c>
      <c r="E20" s="6">
        <v>575</v>
      </c>
    </row>
    <row r="21" spans="2:5" ht="27" customHeight="1" x14ac:dyDescent="0.35">
      <c r="B21" s="33">
        <v>45651</v>
      </c>
      <c r="C21" s="34">
        <v>3001270</v>
      </c>
      <c r="D21" s="7" t="s">
        <v>78</v>
      </c>
      <c r="E21" s="6">
        <v>1592</v>
      </c>
    </row>
    <row r="22" spans="2:5" ht="27" customHeight="1" x14ac:dyDescent="0.35">
      <c r="B22" s="33">
        <v>45682</v>
      </c>
      <c r="C22" s="34">
        <v>2880734</v>
      </c>
      <c r="D22" s="7" t="s">
        <v>78</v>
      </c>
      <c r="E22" s="6">
        <v>48828</v>
      </c>
    </row>
    <row r="23" spans="2:5" ht="27" customHeight="1" x14ac:dyDescent="0.35">
      <c r="B23" s="33">
        <v>45682</v>
      </c>
      <c r="C23" s="34">
        <v>2925939</v>
      </c>
      <c r="D23" s="7" t="s">
        <v>78</v>
      </c>
      <c r="E23" s="6">
        <v>3079</v>
      </c>
    </row>
    <row r="24" spans="2:5" ht="27" customHeight="1" x14ac:dyDescent="0.35">
      <c r="B24" s="33">
        <v>45682</v>
      </c>
      <c r="C24" s="34">
        <v>2948742</v>
      </c>
      <c r="D24" s="7" t="s">
        <v>78</v>
      </c>
      <c r="E24" s="6">
        <v>4717</v>
      </c>
    </row>
    <row r="25" spans="2:5" ht="27" customHeight="1" x14ac:dyDescent="0.35">
      <c r="B25" s="33">
        <v>45682</v>
      </c>
      <c r="C25" s="34">
        <v>2949238</v>
      </c>
      <c r="D25" s="7" t="s">
        <v>78</v>
      </c>
      <c r="E25" s="6">
        <v>1745</v>
      </c>
    </row>
    <row r="26" spans="2:5" ht="27" customHeight="1" x14ac:dyDescent="0.35">
      <c r="B26" s="33">
        <v>45682</v>
      </c>
      <c r="C26" s="34">
        <v>3000701</v>
      </c>
      <c r="D26" s="7" t="s">
        <v>78</v>
      </c>
      <c r="E26" s="6">
        <v>864</v>
      </c>
    </row>
    <row r="27" spans="2:5" ht="27" customHeight="1" x14ac:dyDescent="0.35">
      <c r="B27" s="33">
        <v>45682</v>
      </c>
      <c r="C27" s="34">
        <v>3001137</v>
      </c>
      <c r="D27" s="7" t="s">
        <v>78</v>
      </c>
      <c r="E27" s="6">
        <v>1525</v>
      </c>
    </row>
    <row r="28" spans="2:5" ht="27" customHeight="1" x14ac:dyDescent="0.35">
      <c r="B28" s="33">
        <v>45682</v>
      </c>
      <c r="C28" s="34">
        <v>3001279</v>
      </c>
      <c r="D28" s="7" t="s">
        <v>78</v>
      </c>
      <c r="E28" s="6">
        <v>4338</v>
      </c>
    </row>
    <row r="29" spans="2:5" ht="27" customHeight="1" x14ac:dyDescent="0.35">
      <c r="B29" s="33">
        <v>45731</v>
      </c>
      <c r="C29" s="34">
        <v>2847485</v>
      </c>
      <c r="D29" s="7" t="s">
        <v>78</v>
      </c>
      <c r="E29" s="6">
        <v>72126</v>
      </c>
    </row>
    <row r="30" spans="2:5" ht="27" customHeight="1" x14ac:dyDescent="0.35">
      <c r="B30" s="33">
        <v>45731</v>
      </c>
      <c r="C30" s="34">
        <v>2847510</v>
      </c>
      <c r="D30" s="7" t="s">
        <v>78</v>
      </c>
      <c r="E30" s="6">
        <v>293391</v>
      </c>
    </row>
    <row r="31" spans="2:5" ht="27" customHeight="1" x14ac:dyDescent="0.35">
      <c r="B31" s="33">
        <v>45731</v>
      </c>
      <c r="C31" s="34">
        <v>2925877</v>
      </c>
      <c r="D31" s="7" t="s">
        <v>78</v>
      </c>
      <c r="E31" s="6">
        <v>14127</v>
      </c>
    </row>
    <row r="32" spans="2:5" ht="27" customHeight="1" x14ac:dyDescent="0.35">
      <c r="B32" s="33">
        <v>45731</v>
      </c>
      <c r="C32" s="34">
        <v>2925907</v>
      </c>
      <c r="D32" s="7" t="s">
        <v>78</v>
      </c>
      <c r="E32" s="6">
        <v>3474</v>
      </c>
    </row>
    <row r="33" spans="2:5" ht="27" customHeight="1" x14ac:dyDescent="0.35">
      <c r="B33" s="33">
        <v>45731</v>
      </c>
      <c r="C33" s="34">
        <v>2948759</v>
      </c>
      <c r="D33" s="7" t="s">
        <v>78</v>
      </c>
      <c r="E33" s="6">
        <v>5645</v>
      </c>
    </row>
    <row r="34" spans="2:5" ht="27" customHeight="1" x14ac:dyDescent="0.35">
      <c r="B34" s="33">
        <v>45731</v>
      </c>
      <c r="C34" s="34">
        <v>2948772</v>
      </c>
      <c r="D34" s="7" t="s">
        <v>78</v>
      </c>
      <c r="E34" s="6">
        <v>22963</v>
      </c>
    </row>
    <row r="35" spans="2:5" ht="27" customHeight="1" x14ac:dyDescent="0.35">
      <c r="B35" s="33">
        <v>45731</v>
      </c>
      <c r="C35" s="34">
        <v>2949227</v>
      </c>
      <c r="D35" s="7" t="s">
        <v>78</v>
      </c>
      <c r="E35" s="6">
        <v>2117</v>
      </c>
    </row>
    <row r="36" spans="2:5" ht="27" customHeight="1" x14ac:dyDescent="0.35">
      <c r="B36" s="33">
        <v>45731</v>
      </c>
      <c r="C36" s="34">
        <v>2949253</v>
      </c>
      <c r="D36" s="7" t="s">
        <v>78</v>
      </c>
      <c r="E36" s="6">
        <v>8613</v>
      </c>
    </row>
    <row r="37" spans="2:5" ht="27" customHeight="1" x14ac:dyDescent="0.35">
      <c r="B37" s="33">
        <v>45731</v>
      </c>
      <c r="C37" s="34">
        <v>3000667</v>
      </c>
      <c r="D37" s="7" t="s">
        <v>78</v>
      </c>
      <c r="E37" s="6">
        <v>3700</v>
      </c>
    </row>
    <row r="38" spans="2:5" ht="27" customHeight="1" x14ac:dyDescent="0.35">
      <c r="B38" s="33">
        <v>45731</v>
      </c>
      <c r="C38" s="34">
        <v>3000677</v>
      </c>
      <c r="D38" s="7" t="s">
        <v>78</v>
      </c>
      <c r="E38" s="6">
        <v>910</v>
      </c>
    </row>
    <row r="39" spans="2:5" ht="27" customHeight="1" x14ac:dyDescent="0.35">
      <c r="B39" s="33">
        <v>45731</v>
      </c>
      <c r="C39" s="34">
        <v>3001112</v>
      </c>
      <c r="D39" s="7" t="s">
        <v>78</v>
      </c>
      <c r="E39" s="6">
        <v>1493</v>
      </c>
    </row>
    <row r="40" spans="2:5" ht="27" customHeight="1" x14ac:dyDescent="0.35">
      <c r="B40" s="33">
        <v>45731</v>
      </c>
      <c r="C40" s="34">
        <v>3001128</v>
      </c>
      <c r="D40" s="7" t="s">
        <v>78</v>
      </c>
      <c r="E40" s="6">
        <v>6076</v>
      </c>
    </row>
    <row r="41" spans="2:5" ht="27" customHeight="1" x14ac:dyDescent="0.35">
      <c r="B41" s="33">
        <v>45731</v>
      </c>
      <c r="C41" s="34">
        <v>3001247</v>
      </c>
      <c r="D41" s="7" t="s">
        <v>78</v>
      </c>
      <c r="E41" s="6">
        <v>16503</v>
      </c>
    </row>
    <row r="42" spans="2:5" ht="27" customHeight="1" x14ac:dyDescent="0.35">
      <c r="B42" s="33">
        <v>45731</v>
      </c>
      <c r="C42" s="34">
        <v>3001255</v>
      </c>
      <c r="D42" s="7" t="s">
        <v>78</v>
      </c>
      <c r="E42" s="6">
        <v>4057</v>
      </c>
    </row>
    <row r="43" spans="2:5" ht="27" customHeight="1" x14ac:dyDescent="0.35">
      <c r="B43" s="33">
        <v>45736</v>
      </c>
      <c r="C43" s="34">
        <v>2848332</v>
      </c>
      <c r="D43" s="7" t="s">
        <v>78</v>
      </c>
      <c r="E43" s="6">
        <v>2720651</v>
      </c>
    </row>
    <row r="44" spans="2:5" ht="27" customHeight="1" x14ac:dyDescent="0.35">
      <c r="B44" s="33">
        <v>45736</v>
      </c>
      <c r="C44" s="34">
        <v>2925958</v>
      </c>
      <c r="D44" s="7" t="s">
        <v>78</v>
      </c>
      <c r="E44" s="6">
        <v>142686</v>
      </c>
    </row>
    <row r="45" spans="2:5" ht="27" customHeight="1" x14ac:dyDescent="0.35">
      <c r="B45" s="33">
        <v>45736</v>
      </c>
      <c r="C45" s="34">
        <v>2948670</v>
      </c>
      <c r="D45" s="7" t="s">
        <v>78</v>
      </c>
      <c r="E45" s="6">
        <v>400274</v>
      </c>
    </row>
    <row r="46" spans="2:5" ht="27" customHeight="1" x14ac:dyDescent="0.35">
      <c r="B46" s="33">
        <v>45736</v>
      </c>
      <c r="C46" s="34">
        <v>2949194</v>
      </c>
      <c r="D46" s="7" t="s">
        <v>78</v>
      </c>
      <c r="E46" s="6">
        <v>158581</v>
      </c>
    </row>
    <row r="47" spans="2:5" ht="27" customHeight="1" x14ac:dyDescent="0.35">
      <c r="B47" s="33">
        <v>45736</v>
      </c>
      <c r="C47" s="34">
        <v>3000716</v>
      </c>
      <c r="D47" s="7" t="s">
        <v>78</v>
      </c>
      <c r="E47" s="6">
        <v>67813</v>
      </c>
    </row>
    <row r="48" spans="2:5" ht="27" customHeight="1" x14ac:dyDescent="0.35">
      <c r="B48" s="33">
        <v>45736</v>
      </c>
      <c r="C48" s="34">
        <v>3001150</v>
      </c>
      <c r="D48" s="7" t="s">
        <v>78</v>
      </c>
      <c r="E48" s="6">
        <v>123830</v>
      </c>
    </row>
    <row r="49" spans="2:5" ht="27" customHeight="1" x14ac:dyDescent="0.35">
      <c r="B49" s="33">
        <v>45736</v>
      </c>
      <c r="C49" s="34">
        <v>3001291</v>
      </c>
      <c r="D49" s="7" t="s">
        <v>78</v>
      </c>
      <c r="E49" s="6">
        <v>367259</v>
      </c>
    </row>
    <row r="50" spans="2:5" ht="27" customHeight="1" x14ac:dyDescent="0.35">
      <c r="B50" s="33">
        <v>45741</v>
      </c>
      <c r="C50" s="34">
        <v>2847945</v>
      </c>
      <c r="D50" s="7" t="s">
        <v>78</v>
      </c>
      <c r="E50" s="6">
        <v>24043</v>
      </c>
    </row>
    <row r="51" spans="2:5" ht="27" customHeight="1" x14ac:dyDescent="0.35">
      <c r="B51" s="33">
        <v>45741</v>
      </c>
      <c r="C51" s="34">
        <v>2925923</v>
      </c>
      <c r="D51" s="7" t="s">
        <v>78</v>
      </c>
      <c r="E51" s="6">
        <v>1259</v>
      </c>
    </row>
    <row r="52" spans="2:5" ht="27" customHeight="1" x14ac:dyDescent="0.35">
      <c r="B52" s="33">
        <v>45741</v>
      </c>
      <c r="C52" s="34">
        <v>2948728</v>
      </c>
      <c r="D52" s="7" t="s">
        <v>78</v>
      </c>
      <c r="E52" s="6">
        <v>1942</v>
      </c>
    </row>
    <row r="53" spans="2:5" ht="27" customHeight="1" x14ac:dyDescent="0.35">
      <c r="B53" s="33">
        <v>45741</v>
      </c>
      <c r="C53" s="34">
        <v>2949215</v>
      </c>
      <c r="D53" s="7" t="s">
        <v>78</v>
      </c>
      <c r="E53" s="6">
        <v>779</v>
      </c>
    </row>
    <row r="54" spans="2:5" ht="27" customHeight="1" x14ac:dyDescent="0.35">
      <c r="B54" s="33">
        <v>45741</v>
      </c>
      <c r="C54" s="34">
        <v>3000691</v>
      </c>
      <c r="D54" s="7" t="s">
        <v>78</v>
      </c>
      <c r="E54" s="6">
        <v>341</v>
      </c>
    </row>
    <row r="55" spans="2:5" ht="27" customHeight="1" x14ac:dyDescent="0.35">
      <c r="B55" s="33">
        <v>45741</v>
      </c>
      <c r="C55" s="34">
        <v>3001103</v>
      </c>
      <c r="D55" s="7" t="s">
        <v>78</v>
      </c>
      <c r="E55" s="6">
        <v>575</v>
      </c>
    </row>
    <row r="56" spans="2:5" ht="27" customHeight="1" x14ac:dyDescent="0.35">
      <c r="B56" s="33">
        <v>45741</v>
      </c>
      <c r="C56" s="34">
        <v>3001271</v>
      </c>
      <c r="D56" s="7" t="s">
        <v>78</v>
      </c>
      <c r="E56" s="6">
        <v>1592</v>
      </c>
    </row>
    <row r="57" spans="2:5" ht="27" customHeight="1" x14ac:dyDescent="0.35">
      <c r="B57" s="33">
        <v>45772</v>
      </c>
      <c r="C57" s="34">
        <v>2880735</v>
      </c>
      <c r="D57" s="7" t="s">
        <v>78</v>
      </c>
      <c r="E57" s="6">
        <v>48828</v>
      </c>
    </row>
    <row r="58" spans="2:5" ht="27" customHeight="1" x14ac:dyDescent="0.35">
      <c r="B58" s="33">
        <v>45772</v>
      </c>
      <c r="C58" s="34">
        <v>2925940</v>
      </c>
      <c r="D58" s="7" t="s">
        <v>78</v>
      </c>
      <c r="E58" s="6">
        <v>3079</v>
      </c>
    </row>
    <row r="59" spans="2:5" ht="27" customHeight="1" x14ac:dyDescent="0.35">
      <c r="B59" s="33">
        <v>45772</v>
      </c>
      <c r="C59" s="34">
        <v>2948743</v>
      </c>
      <c r="D59" s="7" t="s">
        <v>78</v>
      </c>
      <c r="E59" s="6">
        <v>4717</v>
      </c>
    </row>
    <row r="60" spans="2:5" ht="27" customHeight="1" x14ac:dyDescent="0.35">
      <c r="B60" s="33">
        <v>45772</v>
      </c>
      <c r="C60" s="34">
        <v>2949239</v>
      </c>
      <c r="D60" s="7" t="s">
        <v>78</v>
      </c>
      <c r="E60" s="6">
        <v>1745</v>
      </c>
    </row>
    <row r="61" spans="2:5" ht="27" customHeight="1" x14ac:dyDescent="0.35">
      <c r="B61" s="33">
        <v>45772</v>
      </c>
      <c r="C61" s="34">
        <v>3000702</v>
      </c>
      <c r="D61" s="7" t="s">
        <v>78</v>
      </c>
      <c r="E61" s="6">
        <v>864</v>
      </c>
    </row>
    <row r="62" spans="2:5" ht="27" customHeight="1" x14ac:dyDescent="0.35">
      <c r="B62" s="33">
        <v>45772</v>
      </c>
      <c r="C62" s="34">
        <v>3001138</v>
      </c>
      <c r="D62" s="7" t="s">
        <v>78</v>
      </c>
      <c r="E62" s="6">
        <v>1525</v>
      </c>
    </row>
    <row r="63" spans="2:5" ht="27" customHeight="1" x14ac:dyDescent="0.35">
      <c r="B63" s="33">
        <v>45772</v>
      </c>
      <c r="C63" s="34">
        <v>3001280</v>
      </c>
      <c r="D63" s="7" t="s">
        <v>78</v>
      </c>
      <c r="E63" s="6">
        <v>4338</v>
      </c>
    </row>
    <row r="64" spans="2:5" ht="27" customHeight="1" x14ac:dyDescent="0.35">
      <c r="B64" s="33">
        <v>45823</v>
      </c>
      <c r="C64" s="34">
        <v>2847486</v>
      </c>
      <c r="D64" s="7" t="s">
        <v>78</v>
      </c>
      <c r="E64" s="6">
        <v>72126</v>
      </c>
    </row>
    <row r="65" spans="2:5" ht="27" customHeight="1" x14ac:dyDescent="0.35">
      <c r="B65" s="33">
        <v>45823</v>
      </c>
      <c r="C65" s="34">
        <v>2847511</v>
      </c>
      <c r="D65" s="7" t="s">
        <v>78</v>
      </c>
      <c r="E65" s="6">
        <v>293391</v>
      </c>
    </row>
    <row r="66" spans="2:5" ht="27" customHeight="1" x14ac:dyDescent="0.35">
      <c r="B66" s="33">
        <v>45823</v>
      </c>
      <c r="C66" s="34">
        <v>2925878</v>
      </c>
      <c r="D66" s="7" t="s">
        <v>78</v>
      </c>
      <c r="E66" s="6">
        <v>14127</v>
      </c>
    </row>
    <row r="67" spans="2:5" ht="27" customHeight="1" x14ac:dyDescent="0.35">
      <c r="B67" s="33">
        <v>45823</v>
      </c>
      <c r="C67" s="34">
        <v>2925908</v>
      </c>
      <c r="D67" s="7" t="s">
        <v>78</v>
      </c>
      <c r="E67" s="6">
        <v>3474</v>
      </c>
    </row>
    <row r="68" spans="2:5" ht="27" customHeight="1" x14ac:dyDescent="0.35">
      <c r="B68" s="33">
        <v>45823</v>
      </c>
      <c r="C68" s="34">
        <v>2948760</v>
      </c>
      <c r="D68" s="7" t="s">
        <v>78</v>
      </c>
      <c r="E68" s="6">
        <v>5645</v>
      </c>
    </row>
    <row r="69" spans="2:5" ht="27" customHeight="1" x14ac:dyDescent="0.35">
      <c r="B69" s="33">
        <v>45823</v>
      </c>
      <c r="C69" s="34">
        <v>2948773</v>
      </c>
      <c r="D69" s="7" t="s">
        <v>78</v>
      </c>
      <c r="E69" s="6">
        <v>22963</v>
      </c>
    </row>
    <row r="70" spans="2:5" ht="27" customHeight="1" x14ac:dyDescent="0.35">
      <c r="B70" s="33">
        <v>45823</v>
      </c>
      <c r="C70" s="34">
        <v>2949228</v>
      </c>
      <c r="D70" s="7" t="s">
        <v>78</v>
      </c>
      <c r="E70" s="6">
        <v>2117</v>
      </c>
    </row>
    <row r="71" spans="2:5" ht="27" customHeight="1" x14ac:dyDescent="0.35">
      <c r="B71" s="33">
        <v>45823</v>
      </c>
      <c r="C71" s="34">
        <v>2949254</v>
      </c>
      <c r="D71" s="7" t="s">
        <v>78</v>
      </c>
      <c r="E71" s="6">
        <v>8613</v>
      </c>
    </row>
    <row r="72" spans="2:5" ht="27" customHeight="1" x14ac:dyDescent="0.35">
      <c r="B72" s="33">
        <v>45823</v>
      </c>
      <c r="C72" s="34">
        <v>3000668</v>
      </c>
      <c r="D72" s="7" t="s">
        <v>78</v>
      </c>
      <c r="E72" s="6">
        <v>3700</v>
      </c>
    </row>
    <row r="73" spans="2:5" ht="27" customHeight="1" x14ac:dyDescent="0.35">
      <c r="B73" s="33">
        <v>45823</v>
      </c>
      <c r="C73" s="34">
        <v>3000678</v>
      </c>
      <c r="D73" s="7" t="s">
        <v>78</v>
      </c>
      <c r="E73" s="6">
        <v>910</v>
      </c>
    </row>
    <row r="74" spans="2:5" ht="27" customHeight="1" x14ac:dyDescent="0.35">
      <c r="B74" s="33">
        <v>45823</v>
      </c>
      <c r="C74" s="34">
        <v>3001113</v>
      </c>
      <c r="D74" s="7" t="s">
        <v>78</v>
      </c>
      <c r="E74" s="6">
        <v>1493</v>
      </c>
    </row>
    <row r="75" spans="2:5" ht="27" customHeight="1" x14ac:dyDescent="0.35">
      <c r="B75" s="33">
        <v>45823</v>
      </c>
      <c r="C75" s="34">
        <v>3001129</v>
      </c>
      <c r="D75" s="7" t="s">
        <v>78</v>
      </c>
      <c r="E75" s="6">
        <v>6076</v>
      </c>
    </row>
    <row r="76" spans="2:5" ht="27" customHeight="1" x14ac:dyDescent="0.35">
      <c r="B76" s="33">
        <v>45823</v>
      </c>
      <c r="C76" s="34">
        <v>3001248</v>
      </c>
      <c r="D76" s="7" t="s">
        <v>78</v>
      </c>
      <c r="E76" s="6">
        <v>16503</v>
      </c>
    </row>
    <row r="77" spans="2:5" ht="27" customHeight="1" x14ac:dyDescent="0.35">
      <c r="B77" s="33">
        <v>45823</v>
      </c>
      <c r="C77" s="34">
        <v>3001256</v>
      </c>
      <c r="D77" s="7" t="s">
        <v>78</v>
      </c>
      <c r="E77" s="6">
        <v>4057</v>
      </c>
    </row>
    <row r="78" spans="2:5" ht="27" customHeight="1" x14ac:dyDescent="0.35">
      <c r="B78" s="33">
        <v>45828</v>
      </c>
      <c r="C78" s="34">
        <v>2848333</v>
      </c>
      <c r="D78" s="7" t="s">
        <v>78</v>
      </c>
      <c r="E78" s="6">
        <v>2720651</v>
      </c>
    </row>
    <row r="79" spans="2:5" ht="27" customHeight="1" x14ac:dyDescent="0.35">
      <c r="B79" s="33">
        <v>45828</v>
      </c>
      <c r="C79" s="34">
        <v>2925959</v>
      </c>
      <c r="D79" s="7" t="s">
        <v>78</v>
      </c>
      <c r="E79" s="6">
        <v>142686</v>
      </c>
    </row>
    <row r="80" spans="2:5" ht="27" customHeight="1" x14ac:dyDescent="0.35">
      <c r="B80" s="33">
        <v>45828</v>
      </c>
      <c r="C80" s="34">
        <v>2948671</v>
      </c>
      <c r="D80" s="7" t="s">
        <v>78</v>
      </c>
      <c r="E80" s="6">
        <v>400274</v>
      </c>
    </row>
    <row r="81" spans="2:5" ht="27" customHeight="1" x14ac:dyDescent="0.35">
      <c r="B81" s="33">
        <v>45828</v>
      </c>
      <c r="C81" s="34">
        <v>2949195</v>
      </c>
      <c r="D81" s="7" t="s">
        <v>78</v>
      </c>
      <c r="E81" s="6">
        <v>158581</v>
      </c>
    </row>
    <row r="82" spans="2:5" ht="27" customHeight="1" x14ac:dyDescent="0.35">
      <c r="B82" s="33">
        <v>45828</v>
      </c>
      <c r="C82" s="34">
        <v>3000717</v>
      </c>
      <c r="D82" s="7" t="s">
        <v>78</v>
      </c>
      <c r="E82" s="6">
        <v>67813</v>
      </c>
    </row>
    <row r="83" spans="2:5" ht="27" customHeight="1" x14ac:dyDescent="0.35">
      <c r="B83" s="33">
        <v>45828</v>
      </c>
      <c r="C83" s="34">
        <v>3001155</v>
      </c>
      <c r="D83" s="7" t="s">
        <v>78</v>
      </c>
      <c r="E83" s="6">
        <v>123830</v>
      </c>
    </row>
    <row r="84" spans="2:5" ht="27" customHeight="1" x14ac:dyDescent="0.35">
      <c r="B84" s="33">
        <v>45828</v>
      </c>
      <c r="C84" s="34">
        <v>3001292</v>
      </c>
      <c r="D84" s="7" t="s">
        <v>78</v>
      </c>
      <c r="E84" s="6">
        <v>367259</v>
      </c>
    </row>
    <row r="85" spans="2:5" ht="27" customHeight="1" x14ac:dyDescent="0.35">
      <c r="B85" s="33">
        <v>45833</v>
      </c>
      <c r="C85" s="34">
        <v>2847946</v>
      </c>
      <c r="D85" s="7" t="s">
        <v>78</v>
      </c>
      <c r="E85" s="6">
        <v>24043</v>
      </c>
    </row>
    <row r="86" spans="2:5" ht="27" customHeight="1" x14ac:dyDescent="0.35">
      <c r="B86" s="33">
        <v>45833</v>
      </c>
      <c r="C86" s="34">
        <v>2925924</v>
      </c>
      <c r="D86" s="7" t="s">
        <v>78</v>
      </c>
      <c r="E86" s="6">
        <v>1259</v>
      </c>
    </row>
    <row r="87" spans="2:5" ht="27" customHeight="1" x14ac:dyDescent="0.35">
      <c r="B87" s="33">
        <v>45833</v>
      </c>
      <c r="C87" s="34">
        <v>2948729</v>
      </c>
      <c r="D87" s="7" t="s">
        <v>78</v>
      </c>
      <c r="E87" s="6">
        <v>1942</v>
      </c>
    </row>
    <row r="88" spans="2:5" ht="27" customHeight="1" x14ac:dyDescent="0.35">
      <c r="B88" s="33">
        <v>45833</v>
      </c>
      <c r="C88" s="34">
        <v>2949216</v>
      </c>
      <c r="D88" s="7" t="s">
        <v>78</v>
      </c>
      <c r="E88" s="6">
        <v>779</v>
      </c>
    </row>
    <row r="89" spans="2:5" ht="27" customHeight="1" x14ac:dyDescent="0.35">
      <c r="B89" s="33">
        <v>45833</v>
      </c>
      <c r="C89" s="34">
        <v>3000692</v>
      </c>
      <c r="D89" s="7" t="s">
        <v>78</v>
      </c>
      <c r="E89" s="6">
        <v>341</v>
      </c>
    </row>
    <row r="90" spans="2:5" ht="27" customHeight="1" x14ac:dyDescent="0.35">
      <c r="B90" s="33">
        <v>45833</v>
      </c>
      <c r="C90" s="34">
        <v>3001104</v>
      </c>
      <c r="D90" s="7" t="s">
        <v>78</v>
      </c>
      <c r="E90" s="6">
        <v>575</v>
      </c>
    </row>
    <row r="91" spans="2:5" ht="27" customHeight="1" x14ac:dyDescent="0.35">
      <c r="B91" s="33">
        <v>45833</v>
      </c>
      <c r="C91" s="34">
        <v>3001272</v>
      </c>
      <c r="D91" s="7" t="s">
        <v>78</v>
      </c>
      <c r="E91" s="6">
        <v>1592</v>
      </c>
    </row>
    <row r="92" spans="2:5" ht="27" customHeight="1" x14ac:dyDescent="0.35">
      <c r="B92" s="33">
        <v>45863</v>
      </c>
      <c r="C92" s="34">
        <v>2880736</v>
      </c>
      <c r="D92" s="7" t="s">
        <v>78</v>
      </c>
      <c r="E92" s="6">
        <v>48828</v>
      </c>
    </row>
    <row r="93" spans="2:5" ht="27" customHeight="1" x14ac:dyDescent="0.35">
      <c r="B93" s="33">
        <v>45863</v>
      </c>
      <c r="C93" s="34">
        <v>2925941</v>
      </c>
      <c r="D93" s="7" t="s">
        <v>78</v>
      </c>
      <c r="E93" s="6">
        <v>3079</v>
      </c>
    </row>
    <row r="94" spans="2:5" ht="27" customHeight="1" x14ac:dyDescent="0.35">
      <c r="B94" s="33">
        <v>45863</v>
      </c>
      <c r="C94" s="34">
        <v>2948744</v>
      </c>
      <c r="D94" s="7" t="s">
        <v>78</v>
      </c>
      <c r="E94" s="6">
        <v>4717</v>
      </c>
    </row>
    <row r="95" spans="2:5" ht="27" customHeight="1" x14ac:dyDescent="0.35">
      <c r="B95" s="33">
        <v>45863</v>
      </c>
      <c r="C95" s="34">
        <v>2949240</v>
      </c>
      <c r="D95" s="7" t="s">
        <v>78</v>
      </c>
      <c r="E95" s="6">
        <v>1745</v>
      </c>
    </row>
    <row r="96" spans="2:5" ht="27" customHeight="1" x14ac:dyDescent="0.35">
      <c r="B96" s="33">
        <v>45863</v>
      </c>
      <c r="C96" s="34">
        <v>3000703</v>
      </c>
      <c r="D96" s="7" t="s">
        <v>78</v>
      </c>
      <c r="E96" s="6">
        <v>864</v>
      </c>
    </row>
    <row r="97" spans="2:5" ht="27" customHeight="1" x14ac:dyDescent="0.35">
      <c r="B97" s="33">
        <v>45863</v>
      </c>
      <c r="C97" s="34">
        <v>3001139</v>
      </c>
      <c r="D97" s="7" t="s">
        <v>78</v>
      </c>
      <c r="E97" s="6">
        <v>1525</v>
      </c>
    </row>
    <row r="98" spans="2:5" ht="27" customHeight="1" x14ac:dyDescent="0.35">
      <c r="B98" s="33">
        <v>45863</v>
      </c>
      <c r="C98" s="34">
        <v>3001281</v>
      </c>
      <c r="D98" s="7" t="s">
        <v>78</v>
      </c>
      <c r="E98" s="6">
        <v>4338</v>
      </c>
    </row>
    <row r="99" spans="2:5" ht="27" customHeight="1" x14ac:dyDescent="0.35">
      <c r="B99" s="33">
        <v>45915</v>
      </c>
      <c r="C99" s="34">
        <v>2847487</v>
      </c>
      <c r="D99" s="7" t="s">
        <v>78</v>
      </c>
      <c r="E99" s="6">
        <v>72126</v>
      </c>
    </row>
    <row r="100" spans="2:5" ht="27" customHeight="1" x14ac:dyDescent="0.35">
      <c r="B100" s="33">
        <v>45915</v>
      </c>
      <c r="C100" s="34">
        <v>2847512</v>
      </c>
      <c r="D100" s="7" t="s">
        <v>78</v>
      </c>
      <c r="E100" s="6">
        <v>293391</v>
      </c>
    </row>
    <row r="101" spans="2:5" ht="27" customHeight="1" x14ac:dyDescent="0.35">
      <c r="B101" s="33">
        <v>45915</v>
      </c>
      <c r="C101" s="34">
        <v>2925879</v>
      </c>
      <c r="D101" s="7" t="s">
        <v>78</v>
      </c>
      <c r="E101" s="6">
        <v>14127</v>
      </c>
    </row>
    <row r="102" spans="2:5" ht="27" customHeight="1" x14ac:dyDescent="0.35">
      <c r="B102" s="33">
        <v>45915</v>
      </c>
      <c r="C102" s="34">
        <v>2925909</v>
      </c>
      <c r="D102" s="7" t="s">
        <v>78</v>
      </c>
      <c r="E102" s="6">
        <v>3474</v>
      </c>
    </row>
    <row r="103" spans="2:5" ht="27" customHeight="1" x14ac:dyDescent="0.35">
      <c r="B103" s="33">
        <v>45915</v>
      </c>
      <c r="C103" s="34">
        <v>2948761</v>
      </c>
      <c r="D103" s="7" t="s">
        <v>78</v>
      </c>
      <c r="E103" s="6">
        <v>5645</v>
      </c>
    </row>
    <row r="104" spans="2:5" ht="27" customHeight="1" x14ac:dyDescent="0.35">
      <c r="B104" s="33">
        <v>45915</v>
      </c>
      <c r="C104" s="34">
        <v>2948774</v>
      </c>
      <c r="D104" s="7" t="s">
        <v>78</v>
      </c>
      <c r="E104" s="6">
        <v>22963</v>
      </c>
    </row>
    <row r="105" spans="2:5" ht="27" customHeight="1" x14ac:dyDescent="0.35">
      <c r="B105" s="33">
        <v>45915</v>
      </c>
      <c r="C105" s="34">
        <v>2949229</v>
      </c>
      <c r="D105" s="7" t="s">
        <v>78</v>
      </c>
      <c r="E105" s="6">
        <v>2117</v>
      </c>
    </row>
    <row r="106" spans="2:5" ht="27" customHeight="1" x14ac:dyDescent="0.35">
      <c r="B106" s="33">
        <v>45915</v>
      </c>
      <c r="C106" s="34">
        <v>2949255</v>
      </c>
      <c r="D106" s="7" t="s">
        <v>78</v>
      </c>
      <c r="E106" s="6">
        <v>8613</v>
      </c>
    </row>
    <row r="107" spans="2:5" ht="27" customHeight="1" x14ac:dyDescent="0.35">
      <c r="B107" s="33">
        <v>45915</v>
      </c>
      <c r="C107" s="34">
        <v>3000669</v>
      </c>
      <c r="D107" s="7" t="s">
        <v>78</v>
      </c>
      <c r="E107" s="6">
        <v>3700</v>
      </c>
    </row>
    <row r="108" spans="2:5" ht="27" customHeight="1" x14ac:dyDescent="0.35">
      <c r="B108" s="33">
        <v>45915</v>
      </c>
      <c r="C108" s="34">
        <v>3000679</v>
      </c>
      <c r="D108" s="7" t="s">
        <v>78</v>
      </c>
      <c r="E108" s="6">
        <v>910</v>
      </c>
    </row>
    <row r="109" spans="2:5" ht="27" customHeight="1" x14ac:dyDescent="0.35">
      <c r="B109" s="33">
        <v>45915</v>
      </c>
      <c r="C109" s="34">
        <v>3001114</v>
      </c>
      <c r="D109" s="7" t="s">
        <v>78</v>
      </c>
      <c r="E109" s="6">
        <v>1493</v>
      </c>
    </row>
    <row r="110" spans="2:5" ht="27" customHeight="1" x14ac:dyDescent="0.35">
      <c r="B110" s="33">
        <v>45915</v>
      </c>
      <c r="C110" s="34">
        <v>3001130</v>
      </c>
      <c r="D110" s="7" t="s">
        <v>78</v>
      </c>
      <c r="E110" s="6">
        <v>6076</v>
      </c>
    </row>
    <row r="111" spans="2:5" ht="27" customHeight="1" x14ac:dyDescent="0.35">
      <c r="B111" s="33">
        <v>45915</v>
      </c>
      <c r="C111" s="34">
        <v>3001249</v>
      </c>
      <c r="D111" s="7" t="s">
        <v>78</v>
      </c>
      <c r="E111" s="6">
        <v>16503</v>
      </c>
    </row>
    <row r="112" spans="2:5" ht="27" customHeight="1" x14ac:dyDescent="0.35">
      <c r="B112" s="33">
        <v>45915</v>
      </c>
      <c r="C112" s="34">
        <v>3001257</v>
      </c>
      <c r="D112" s="7" t="s">
        <v>78</v>
      </c>
      <c r="E112" s="6">
        <v>4057</v>
      </c>
    </row>
    <row r="113" spans="2:5" ht="27" customHeight="1" x14ac:dyDescent="0.35">
      <c r="B113" s="33">
        <v>45920</v>
      </c>
      <c r="C113" s="34">
        <v>2848334</v>
      </c>
      <c r="D113" s="7" t="s">
        <v>78</v>
      </c>
      <c r="E113" s="6">
        <v>2720651</v>
      </c>
    </row>
    <row r="114" spans="2:5" ht="27" customHeight="1" x14ac:dyDescent="0.35">
      <c r="B114" s="33">
        <v>45920</v>
      </c>
      <c r="C114" s="34">
        <v>2925960</v>
      </c>
      <c r="D114" s="7" t="s">
        <v>78</v>
      </c>
      <c r="E114" s="6">
        <v>142686</v>
      </c>
    </row>
    <row r="115" spans="2:5" ht="27" customHeight="1" x14ac:dyDescent="0.35">
      <c r="B115" s="33">
        <v>45920</v>
      </c>
      <c r="C115" s="34">
        <v>2948672</v>
      </c>
      <c r="D115" s="7" t="s">
        <v>78</v>
      </c>
      <c r="E115" s="6">
        <v>400274</v>
      </c>
    </row>
    <row r="116" spans="2:5" ht="27" customHeight="1" x14ac:dyDescent="0.35">
      <c r="B116" s="33">
        <v>45920</v>
      </c>
      <c r="C116" s="34">
        <v>2949196</v>
      </c>
      <c r="D116" s="7" t="s">
        <v>78</v>
      </c>
      <c r="E116" s="6">
        <v>158581</v>
      </c>
    </row>
    <row r="117" spans="2:5" ht="27" customHeight="1" x14ac:dyDescent="0.35">
      <c r="B117" s="33">
        <v>45920</v>
      </c>
      <c r="C117" s="34">
        <v>3000718</v>
      </c>
      <c r="D117" s="7" t="s">
        <v>78</v>
      </c>
      <c r="E117" s="6">
        <v>67813</v>
      </c>
    </row>
    <row r="118" spans="2:5" ht="27" customHeight="1" x14ac:dyDescent="0.35">
      <c r="B118" s="33">
        <v>45920</v>
      </c>
      <c r="C118" s="34">
        <v>3001152</v>
      </c>
      <c r="D118" s="7" t="s">
        <v>78</v>
      </c>
      <c r="E118" s="6">
        <v>123830</v>
      </c>
    </row>
    <row r="119" spans="2:5" ht="27" customHeight="1" x14ac:dyDescent="0.35">
      <c r="B119" s="33">
        <v>45920</v>
      </c>
      <c r="C119" s="34">
        <v>3001293</v>
      </c>
      <c r="D119" s="7" t="s">
        <v>78</v>
      </c>
      <c r="E119" s="6">
        <v>367259</v>
      </c>
    </row>
    <row r="120" spans="2:5" ht="27" customHeight="1" x14ac:dyDescent="0.35">
      <c r="B120" s="33">
        <v>45925</v>
      </c>
      <c r="C120" s="34">
        <v>2847947</v>
      </c>
      <c r="D120" s="7" t="s">
        <v>78</v>
      </c>
      <c r="E120" s="6">
        <v>24043</v>
      </c>
    </row>
    <row r="121" spans="2:5" ht="27" customHeight="1" x14ac:dyDescent="0.35">
      <c r="B121" s="33">
        <v>45925</v>
      </c>
      <c r="C121" s="34">
        <v>2925925</v>
      </c>
      <c r="D121" s="7" t="s">
        <v>78</v>
      </c>
      <c r="E121" s="6">
        <v>1259</v>
      </c>
    </row>
    <row r="122" spans="2:5" ht="27" customHeight="1" x14ac:dyDescent="0.35">
      <c r="B122" s="33">
        <v>45925</v>
      </c>
      <c r="C122" s="34">
        <v>2948730</v>
      </c>
      <c r="D122" s="7" t="s">
        <v>78</v>
      </c>
      <c r="E122" s="6">
        <v>1942</v>
      </c>
    </row>
    <row r="123" spans="2:5" ht="27" customHeight="1" x14ac:dyDescent="0.35">
      <c r="B123" s="33">
        <v>45925</v>
      </c>
      <c r="C123" s="34">
        <v>2949217</v>
      </c>
      <c r="D123" s="7" t="s">
        <v>78</v>
      </c>
      <c r="E123" s="6">
        <v>779</v>
      </c>
    </row>
    <row r="124" spans="2:5" ht="27" customHeight="1" x14ac:dyDescent="0.35">
      <c r="B124" s="33">
        <v>45925</v>
      </c>
      <c r="C124" s="34">
        <v>3000693</v>
      </c>
      <c r="D124" s="7" t="s">
        <v>78</v>
      </c>
      <c r="E124" s="6">
        <v>341</v>
      </c>
    </row>
    <row r="125" spans="2:5" ht="27" customHeight="1" x14ac:dyDescent="0.35">
      <c r="B125" s="33">
        <v>45925</v>
      </c>
      <c r="C125" s="34">
        <v>3001105</v>
      </c>
      <c r="D125" s="7" t="s">
        <v>78</v>
      </c>
      <c r="E125" s="6">
        <v>575</v>
      </c>
    </row>
    <row r="126" spans="2:5" ht="27" customHeight="1" x14ac:dyDescent="0.35">
      <c r="B126" s="33">
        <v>45925</v>
      </c>
      <c r="C126" s="34">
        <v>3001273</v>
      </c>
      <c r="D126" s="7" t="s">
        <v>78</v>
      </c>
      <c r="E126" s="6">
        <v>1592</v>
      </c>
    </row>
    <row r="127" spans="2:5" ht="27" customHeight="1" x14ac:dyDescent="0.35">
      <c r="B127" s="199" t="s">
        <v>69</v>
      </c>
      <c r="C127" s="200"/>
      <c r="D127" s="201"/>
      <c r="E127" s="6">
        <f>SUM(E4:E126)</f>
        <v>16504097</v>
      </c>
    </row>
    <row r="128" spans="2:5" ht="27" customHeight="1" x14ac:dyDescent="0.35">
      <c r="E128" s="10">
        <f>E127-UCTD!F40</f>
        <v>0</v>
      </c>
    </row>
  </sheetData>
  <mergeCells count="2">
    <mergeCell ref="B2:E2"/>
    <mergeCell ref="B127:D127"/>
  </mergeCells>
  <pageMargins left="0.7" right="0.7" top="0.75" bottom="0.75" header="0.3" footer="0.3"/>
  <pageSetup scale="30" orientation="portrait" r:id="rId1"/>
  <colBreaks count="1" manualBreakCount="1">
    <brk id="1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B731-FAB0-42F9-B6DF-B42E93EBFCBD}">
  <dimension ref="B2:E42"/>
  <sheetViews>
    <sheetView topLeftCell="A34" workbookViewId="0">
      <selection activeCell="B16" sqref="B16:D16"/>
    </sheetView>
  </sheetViews>
  <sheetFormatPr defaultColWidth="8.90625" defaultRowHeight="19.5" x14ac:dyDescent="0.45"/>
  <cols>
    <col min="1" max="1" width="8.90625" style="40"/>
    <col min="2" max="2" width="28.36328125" style="43" bestFit="1" customWidth="1"/>
    <col min="3" max="3" width="19.6328125" style="44" bestFit="1" customWidth="1"/>
    <col min="4" max="4" width="8.90625" style="40"/>
    <col min="5" max="5" width="24.6328125" style="40" bestFit="1" customWidth="1"/>
    <col min="6" max="16384" width="8.90625" style="40"/>
  </cols>
  <sheetData>
    <row r="2" spans="2:5" x14ac:dyDescent="0.45">
      <c r="B2" s="202" t="s">
        <v>81</v>
      </c>
      <c r="C2" s="202"/>
    </row>
    <row r="3" spans="2:5" x14ac:dyDescent="0.45">
      <c r="B3" s="41" t="s">
        <v>39</v>
      </c>
      <c r="C3" s="42" t="s">
        <v>82</v>
      </c>
    </row>
    <row r="5" spans="2:5" x14ac:dyDescent="0.45">
      <c r="B5" s="43" t="s">
        <v>76</v>
      </c>
      <c r="C5" s="44">
        <v>10000000</v>
      </c>
    </row>
    <row r="6" spans="2:5" x14ac:dyDescent="0.45">
      <c r="B6" s="45" t="s">
        <v>83</v>
      </c>
      <c r="C6" s="46">
        <v>15000000</v>
      </c>
      <c r="D6" s="47"/>
      <c r="E6" s="47" t="s">
        <v>84</v>
      </c>
    </row>
    <row r="8" spans="2:5" x14ac:dyDescent="0.45">
      <c r="B8" s="41" t="s">
        <v>39</v>
      </c>
      <c r="C8" s="42">
        <f>SUM(C5:C7)</f>
        <v>25000000</v>
      </c>
    </row>
    <row r="10" spans="2:5" x14ac:dyDescent="0.45">
      <c r="B10" s="41" t="s">
        <v>39</v>
      </c>
      <c r="C10" s="42" t="s">
        <v>85</v>
      </c>
    </row>
    <row r="11" spans="2:5" x14ac:dyDescent="0.45">
      <c r="B11" s="43" t="s">
        <v>86</v>
      </c>
      <c r="C11" s="44">
        <v>39606.5</v>
      </c>
      <c r="E11" s="48"/>
    </row>
    <row r="12" spans="2:5" x14ac:dyDescent="0.45">
      <c r="B12" s="43" t="s">
        <v>87</v>
      </c>
      <c r="C12" s="44">
        <v>51917.15</v>
      </c>
      <c r="E12" s="49"/>
    </row>
    <row r="13" spans="2:5" x14ac:dyDescent="0.45">
      <c r="B13" s="43" t="s">
        <v>88</v>
      </c>
      <c r="C13" s="44">
        <v>148242</v>
      </c>
      <c r="E13" s="48"/>
    </row>
    <row r="14" spans="2:5" x14ac:dyDescent="0.45">
      <c r="B14" s="43" t="s">
        <v>89</v>
      </c>
      <c r="C14" s="44">
        <v>399600</v>
      </c>
    </row>
    <row r="15" spans="2:5" x14ac:dyDescent="0.45">
      <c r="B15" s="43" t="s">
        <v>90</v>
      </c>
      <c r="C15" s="44">
        <v>1160385.6000000001</v>
      </c>
    </row>
    <row r="16" spans="2:5" x14ac:dyDescent="0.45">
      <c r="B16" s="43" t="s">
        <v>91</v>
      </c>
      <c r="C16" s="44">
        <v>470538.38</v>
      </c>
    </row>
    <row r="17" spans="2:3" x14ac:dyDescent="0.45">
      <c r="B17" s="43" t="s">
        <v>92</v>
      </c>
      <c r="C17" s="44">
        <v>1100000</v>
      </c>
    </row>
    <row r="18" spans="2:3" x14ac:dyDescent="0.45">
      <c r="B18" s="43" t="s">
        <v>93</v>
      </c>
      <c r="C18" s="44">
        <v>309345</v>
      </c>
    </row>
    <row r="19" spans="2:3" x14ac:dyDescent="0.45">
      <c r="B19" s="43" t="s">
        <v>94</v>
      </c>
      <c r="C19" s="44">
        <v>750000</v>
      </c>
    </row>
    <row r="20" spans="2:3" x14ac:dyDescent="0.45">
      <c r="B20" s="43" t="s">
        <v>95</v>
      </c>
      <c r="C20" s="44">
        <v>1011897</v>
      </c>
    </row>
    <row r="21" spans="2:3" x14ac:dyDescent="0.45">
      <c r="B21" s="43" t="s">
        <v>96</v>
      </c>
      <c r="C21" s="44">
        <v>793116</v>
      </c>
    </row>
    <row r="22" spans="2:3" x14ac:dyDescent="0.45">
      <c r="B22" s="43" t="s">
        <v>97</v>
      </c>
      <c r="C22" s="44">
        <v>2200000</v>
      </c>
    </row>
    <row r="23" spans="2:3" x14ac:dyDescent="0.45">
      <c r="B23" s="43" t="s">
        <v>98</v>
      </c>
      <c r="C23" s="44">
        <v>200000</v>
      </c>
    </row>
    <row r="24" spans="2:3" x14ac:dyDescent="0.45">
      <c r="B24" s="43" t="s">
        <v>99</v>
      </c>
      <c r="C24" s="44">
        <v>350000</v>
      </c>
    </row>
    <row r="25" spans="2:3" x14ac:dyDescent="0.45">
      <c r="B25" s="43" t="s">
        <v>100</v>
      </c>
      <c r="C25" s="44">
        <v>415000</v>
      </c>
    </row>
    <row r="26" spans="2:3" x14ac:dyDescent="0.45">
      <c r="B26" s="43" t="s">
        <v>101</v>
      </c>
      <c r="C26" s="44">
        <v>200000</v>
      </c>
    </row>
    <row r="27" spans="2:3" x14ac:dyDescent="0.45">
      <c r="B27" s="43" t="s">
        <v>102</v>
      </c>
      <c r="C27" s="44">
        <v>100000</v>
      </c>
    </row>
    <row r="28" spans="2:3" x14ac:dyDescent="0.45">
      <c r="B28" s="43" t="s">
        <v>103</v>
      </c>
      <c r="C28" s="44">
        <v>51153680.649999999</v>
      </c>
    </row>
    <row r="29" spans="2:3" x14ac:dyDescent="0.45">
      <c r="B29" s="43" t="s">
        <v>104</v>
      </c>
      <c r="C29" s="44">
        <v>55000</v>
      </c>
    </row>
    <row r="30" spans="2:3" x14ac:dyDescent="0.45">
      <c r="B30" s="43" t="s">
        <v>105</v>
      </c>
      <c r="C30" s="44">
        <v>2244172</v>
      </c>
    </row>
    <row r="31" spans="2:3" x14ac:dyDescent="0.45">
      <c r="B31" s="43" t="s">
        <v>106</v>
      </c>
      <c r="C31" s="44">
        <f>28675+27621+44185+124763+73692</f>
        <v>298936</v>
      </c>
    </row>
    <row r="32" spans="2:3" x14ac:dyDescent="0.45">
      <c r="B32" s="43" t="s">
        <v>107</v>
      </c>
      <c r="C32" s="44">
        <v>6324</v>
      </c>
    </row>
    <row r="33" spans="2:3" x14ac:dyDescent="0.45">
      <c r="B33" s="43" t="s">
        <v>108</v>
      </c>
      <c r="C33" s="44">
        <f>19445+685</f>
        <v>20130</v>
      </c>
    </row>
    <row r="34" spans="2:3" x14ac:dyDescent="0.45">
      <c r="B34" s="43" t="s">
        <v>109</v>
      </c>
      <c r="C34" s="44">
        <f>166914+48722+101537+540000+50000</f>
        <v>907173</v>
      </c>
    </row>
    <row r="35" spans="2:3" x14ac:dyDescent="0.45">
      <c r="B35" s="43" t="s">
        <v>110</v>
      </c>
      <c r="C35" s="44">
        <v>14065</v>
      </c>
    </row>
    <row r="36" spans="2:3" x14ac:dyDescent="0.45">
      <c r="B36" s="43" t="s">
        <v>111</v>
      </c>
      <c r="C36" s="44">
        <v>134166</v>
      </c>
    </row>
    <row r="37" spans="2:3" x14ac:dyDescent="0.45">
      <c r="B37" s="43" t="s">
        <v>112</v>
      </c>
      <c r="C37" s="44">
        <v>300000</v>
      </c>
    </row>
    <row r="38" spans="2:3" x14ac:dyDescent="0.45">
      <c r="B38" s="43" t="s">
        <v>113</v>
      </c>
      <c r="C38" s="44">
        <v>50000</v>
      </c>
    </row>
    <row r="39" spans="2:3" x14ac:dyDescent="0.45">
      <c r="B39" s="43" t="s">
        <v>114</v>
      </c>
      <c r="C39" s="44">
        <v>750000</v>
      </c>
    </row>
    <row r="40" spans="2:3" x14ac:dyDescent="0.45">
      <c r="B40" s="50"/>
      <c r="C40" s="51">
        <f>SUM(C11:C39)</f>
        <v>65633294.280000001</v>
      </c>
    </row>
    <row r="42" spans="2:3" x14ac:dyDescent="0.45">
      <c r="B42" s="50"/>
      <c r="C42" s="51">
        <f>C8-C40</f>
        <v>-40633294.280000001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HO Group  </vt:lpstr>
      <vt:lpstr>شرائح المرتبات 9</vt:lpstr>
      <vt:lpstr>شرائح المرتبات 10</vt:lpstr>
      <vt:lpstr>شرائح المرتبات 11 (الصيادلة)</vt:lpstr>
      <vt:lpstr>شرائح المرتبات 11 (شرق اوسط))</vt:lpstr>
      <vt:lpstr>شرائح المرتبات 11 (توزيع) (2)</vt:lpstr>
      <vt:lpstr>شرائح المرتبات مجموعة</vt:lpstr>
      <vt:lpstr>المتاخرات</vt:lpstr>
      <vt:lpstr>UCTD</vt:lpstr>
      <vt:lpstr>التوفيق</vt:lpstr>
      <vt:lpstr>اور</vt:lpstr>
      <vt:lpstr>الاهلى </vt:lpstr>
      <vt:lpstr>بى ام</vt:lpstr>
      <vt:lpstr>بلتون</vt:lpstr>
      <vt:lpstr>MEC</vt:lpstr>
      <vt:lpstr>UCTD!Print_Area</vt:lpstr>
      <vt:lpstr>'الاهلى '!Print_Area</vt:lpstr>
      <vt:lpstr>التوفيق!Print_Area</vt:lpstr>
      <vt:lpstr>اور!Print_Area</vt:lpstr>
      <vt:lpstr>بلتون!Print_Area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 Waffaey</dc:creator>
  <cp:lastModifiedBy>Mohamed Refaat Amin</cp:lastModifiedBy>
  <dcterms:created xsi:type="dcterms:W3CDTF">2025-09-28T13:49:01Z</dcterms:created>
  <dcterms:modified xsi:type="dcterms:W3CDTF">2025-12-14T13:47:34Z</dcterms:modified>
</cp:coreProperties>
</file>